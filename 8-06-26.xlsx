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13_ncr:1_{967CE553-5039-4076-AB10-73941287688A}" xr6:coauthVersionLast="47" xr6:coauthVersionMax="47" xr10:uidLastSave="{00000000-0000-0000-0000-000000000000}"/>
  <bookViews>
    <workbookView xWindow="-120" yWindow="-120" windowWidth="29040" windowHeight="15720" xr2:uid="{D976DD9A-F92C-41A6-A09C-215494EFA4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24" i="1" l="1"/>
  <c r="AM26" i="1"/>
  <c r="AM27" i="1"/>
  <c r="AM23" i="1"/>
  <c r="AR22" i="1" s="1"/>
  <c r="AM25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2" i="1"/>
  <c r="S2" i="1"/>
  <c r="AL32" i="1" l="1"/>
  <c r="AP22" i="1"/>
</calcChain>
</file>

<file path=xl/sharedStrings.xml><?xml version="1.0" encoding="utf-8"?>
<sst xmlns="http://schemas.openxmlformats.org/spreadsheetml/2006/main" count="1224" uniqueCount="85">
  <si>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</si>
  <si>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</si>
  <si>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</si>
  <si>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</si>
  <si>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</si>
  <si>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</si>
  <si>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</si>
  <si>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</si>
  <si>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</si>
  <si>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</si>
  <si>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</si>
  <si>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</t>
  </si>
  <si>
    <t>Order_Quantity</t>
  </si>
  <si>
    <t>Unit_Cost</t>
  </si>
  <si>
    <t>Unit_Price</t>
  </si>
  <si>
    <t>Profit</t>
  </si>
  <si>
    <t>Cost</t>
  </si>
  <si>
    <t>Revenue</t>
  </si>
  <si>
    <t>November</t>
  </si>
  <si>
    <t>Youth (&lt;25)</t>
  </si>
  <si>
    <t>M</t>
  </si>
  <si>
    <t>Canada</t>
  </si>
  <si>
    <t>British Columbia</t>
  </si>
  <si>
    <t>Accessories</t>
  </si>
  <si>
    <t>Bike Racks</t>
  </si>
  <si>
    <t>Hitch Rack - 4-Bike</t>
  </si>
  <si>
    <t>March</t>
  </si>
  <si>
    <t>Adults (35-64)</t>
  </si>
  <si>
    <t>Australia</t>
  </si>
  <si>
    <t>New South Wales</t>
  </si>
  <si>
    <t>May</t>
  </si>
  <si>
    <t>F</t>
  </si>
  <si>
    <t>Victoria</t>
  </si>
  <si>
    <t>February</t>
  </si>
  <si>
    <t>July</t>
  </si>
  <si>
    <t>Young Adults (25-34)</t>
  </si>
  <si>
    <t>August</t>
  </si>
  <si>
    <t>September</t>
  </si>
  <si>
    <t>January</t>
  </si>
  <si>
    <t>United States</t>
  </si>
  <si>
    <t>Oregon</t>
  </si>
  <si>
    <t>December</t>
  </si>
  <si>
    <t>California</t>
  </si>
  <si>
    <t>Germany</t>
  </si>
  <si>
    <t>Saarland</t>
  </si>
  <si>
    <t>France</t>
  </si>
  <si>
    <t>Seine Saint Denis</t>
  </si>
  <si>
    <t>Moselle</t>
  </si>
  <si>
    <t>Queensland</t>
  </si>
  <si>
    <t>United Kingdom</t>
  </si>
  <si>
    <t>England</t>
  </si>
  <si>
    <t>Nord</t>
  </si>
  <si>
    <t>June</t>
  </si>
  <si>
    <t>Washington</t>
  </si>
  <si>
    <t>Hessen</t>
  </si>
  <si>
    <t>October</t>
  </si>
  <si>
    <t>April</t>
  </si>
  <si>
    <t>Seniors (64+)</t>
  </si>
  <si>
    <t>Nordrhein-Westfalen</t>
  </si>
  <si>
    <t>Hamburg</t>
  </si>
  <si>
    <t>Loir et Cher</t>
  </si>
  <si>
    <t>Melpadi</t>
  </si>
  <si>
    <t>Vinod</t>
  </si>
  <si>
    <t>rajeev gandhi nagar palamaner</t>
  </si>
  <si>
    <t xml:space="preserve">kavadi </t>
  </si>
  <si>
    <t>Madhu</t>
  </si>
  <si>
    <t>Gudiyatam, chittorgate paradami</t>
  </si>
  <si>
    <t>prakash</t>
  </si>
  <si>
    <t>sathya</t>
  </si>
  <si>
    <t>karanodai,chennai munivel nagar</t>
  </si>
  <si>
    <t>canada</t>
  </si>
  <si>
    <t>gro cery</t>
  </si>
  <si>
    <t>Car  Racks</t>
  </si>
  <si>
    <t>What is analysis</t>
  </si>
  <si>
    <t>Student Name</t>
  </si>
  <si>
    <t>maha</t>
  </si>
  <si>
    <t>sai siva</t>
  </si>
  <si>
    <t>ThilaK</t>
  </si>
  <si>
    <t>Semister 1</t>
  </si>
  <si>
    <t>semister 2</t>
  </si>
  <si>
    <t>Semister3</t>
  </si>
  <si>
    <t>Semister4</t>
  </si>
  <si>
    <t>Captone</t>
  </si>
  <si>
    <t>Overall Marks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</si>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</sst>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9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340F52-3192-4C37-A18F-24C74E712DB0}" name="Table1" displayName="Table1" ref="AG22:AM27" totalsRowShown="0" headerRowDxfId="8" dataDxfId="7">
  <autoFilter ref="AG22:AM27" xr:uid="{CB340F52-3192-4C37-A18F-24C74E712DB0}"/>
  <tableColumns count="7">
    <tableColumn id="1" xr3:uid="{E952C59D-E344-492C-949E-CCABBA72923B}" name="Student Name" dataDxfId="6"/>
    <tableColumn id="2" xr3:uid="{0C38C8C3-19A2-4ABC-95DC-AD41637B44A7}" name="Semister 1" dataDxfId="5"/>
    <tableColumn id="3" xr3:uid="{2D935592-FD41-4E8D-9D2D-72E5BFCEB037}" name="semister 2" dataDxfId="4"/>
    <tableColumn id="4" xr3:uid="{921972F0-6E72-47CD-B816-A6B8ADBE8339}" name="Semister3" dataDxfId="3"/>
    <tableColumn id="5" xr3:uid="{A2F3307E-B8AB-4923-A79E-EADB9740A935}" name="Semister4" dataDxfId="2"/>
    <tableColumn id="6" xr3:uid="{ADF2758C-BAED-4BFD-B2E2-920AC04FA45D}" name="Captone" dataDxfId="1"/>
    <tableColumn id="7" xr3:uid="{0787FBCF-11A7-4AC4-8AEC-23B5DD7C17FF}" name="Overall Marks" dataDxfId="0">
      <calculatedColumnFormula>AVERAGE(Table1[[#This Row],[Captone]],Table1[[#This Row],[Semister4]],Table1[[#This Row],[Semister3]],Table1[[#This Row],[semister 2]],Table1[[#This Row],[Semister 1]])</calculatedColumnFormula>
    </tableColumn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54106-6CA9-4DE5-A0D9-2B620E04F4C3}">
  <dimension ref="A1:AR151"/>
  <sheetViews>
    <sheetView tabSelected="1" topLeftCell="AA17" zoomScale="130" zoomScaleNormal="130" workbookViewId="0">
      <selection activeCell="AK32" sqref="AK32:AL32"/>
    </sheetView>
  </sheetViews>
  <sheetFormatPr defaultRowHeight="15" x14ac:dyDescent="0.25"/>
  <cols>
    <col min="5" max="5" width="16" customWidth="1"/>
    <col min="6" max="6" width="17.5703125" customWidth="1"/>
    <col min="7" max="7" width="14.85546875" customWidth="1"/>
    <col min="8" max="8" width="14.28515625" customWidth="1"/>
    <col min="9" max="9" width="24.42578125" customWidth="1"/>
    <col min="10" max="10" width="17.85546875" customWidth="1"/>
    <col min="11" max="11" width="17.42578125" customWidth="1"/>
    <col min="12" max="12" width="16.42578125" customWidth="1"/>
    <col min="33" max="33" width="15.85546875" customWidth="1"/>
    <col min="34" max="34" width="12.42578125" customWidth="1"/>
    <col min="35" max="35" width="12.28515625" customWidth="1"/>
    <col min="36" max="37" width="12" customWidth="1"/>
    <col min="38" max="38" width="10.5703125" customWidth="1"/>
    <col min="39" max="39" width="15.28515625" customWidth="1"/>
  </cols>
  <sheetData>
    <row r="1" spans="1:27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</row>
    <row r="2" spans="1:27" ht="75" x14ac:dyDescent="0.25">
      <c r="A2" s="2">
        <v>41604</v>
      </c>
      <c r="B2">
        <v>26</v>
      </c>
      <c r="C2" t="s">
        <v>18</v>
      </c>
      <c r="D2" s="1">
        <v>2013</v>
      </c>
      <c r="E2" s="1">
        <v>19</v>
      </c>
      <c r="F2" s="1">
        <v>25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>
        <v>8</v>
      </c>
      <c r="N2" s="1">
        <v>45</v>
      </c>
      <c r="O2" s="1">
        <v>120</v>
      </c>
      <c r="P2" s="1">
        <v>590</v>
      </c>
      <c r="Q2" s="1">
        <v>360</v>
      </c>
      <c r="R2" s="1">
        <v>950</v>
      </c>
      <c r="S2">
        <f>M2/N2</f>
        <v>0.17777777777777778</v>
      </c>
      <c r="T2">
        <f>M2/P2</f>
        <v>1.3559322033898305E-2</v>
      </c>
      <c r="U2" t="s">
        <v>61</v>
      </c>
      <c r="V2" t="s">
        <v>62</v>
      </c>
      <c r="W2" s="3" t="s">
        <v>63</v>
      </c>
    </row>
    <row r="3" spans="1:27" x14ac:dyDescent="0.25">
      <c r="A3" s="2">
        <v>42334</v>
      </c>
      <c r="B3">
        <v>26</v>
      </c>
      <c r="C3" t="s">
        <v>18</v>
      </c>
      <c r="D3" s="1">
        <v>2015</v>
      </c>
      <c r="E3" s="1">
        <v>19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  <c r="L3" s="1" t="s">
        <v>25</v>
      </c>
      <c r="M3" s="1">
        <v>8</v>
      </c>
      <c r="N3" s="1">
        <v>45</v>
      </c>
      <c r="O3" s="1">
        <v>120</v>
      </c>
      <c r="P3" s="1">
        <v>590</v>
      </c>
      <c r="Q3" s="1">
        <v>360</v>
      </c>
      <c r="R3" s="1">
        <v>950</v>
      </c>
      <c r="S3">
        <f t="shared" ref="S3:S65" si="0">M3/N3</f>
        <v>0.17777777777777778</v>
      </c>
      <c r="T3">
        <f t="shared" ref="T3:T65" si="1">M3/P3</f>
        <v>1.3559322033898305E-2</v>
      </c>
    </row>
    <row r="4" spans="1:27" ht="90" x14ac:dyDescent="0.25">
      <c r="A4" s="2">
        <v>41721</v>
      </c>
      <c r="B4">
        <v>23</v>
      </c>
      <c r="C4" t="s">
        <v>26</v>
      </c>
      <c r="D4" s="1">
        <v>2014</v>
      </c>
      <c r="E4" s="1">
        <v>49</v>
      </c>
      <c r="F4" s="1" t="s">
        <v>27</v>
      </c>
      <c r="G4" s="1" t="s">
        <v>20</v>
      </c>
      <c r="H4" s="1" t="s">
        <v>28</v>
      </c>
      <c r="I4" s="1" t="s">
        <v>29</v>
      </c>
      <c r="J4" s="1" t="s">
        <v>23</v>
      </c>
      <c r="K4" s="1" t="s">
        <v>24</v>
      </c>
      <c r="L4" s="1" t="s">
        <v>25</v>
      </c>
      <c r="M4" s="1">
        <v>23</v>
      </c>
      <c r="N4" s="1">
        <v>45</v>
      </c>
      <c r="O4" s="1">
        <v>120</v>
      </c>
      <c r="P4" s="1">
        <v>1366</v>
      </c>
      <c r="Q4" s="1">
        <v>1035</v>
      </c>
      <c r="R4" s="1">
        <v>2401</v>
      </c>
      <c r="S4">
        <f t="shared" si="0"/>
        <v>0.51111111111111107</v>
      </c>
      <c r="T4">
        <f t="shared" si="1"/>
        <v>1.6837481698389459E-2</v>
      </c>
      <c r="U4" t="s">
        <v>64</v>
      </c>
      <c r="V4" t="s">
        <v>65</v>
      </c>
      <c r="W4" s="3" t="s">
        <v>66</v>
      </c>
    </row>
    <row r="5" spans="1:27" x14ac:dyDescent="0.25">
      <c r="A5" s="2">
        <v>42452</v>
      </c>
      <c r="B5">
        <v>23</v>
      </c>
      <c r="C5" t="s">
        <v>26</v>
      </c>
      <c r="D5" s="1">
        <v>2016</v>
      </c>
      <c r="E5" s="1">
        <v>49</v>
      </c>
      <c r="F5" s="1" t="s">
        <v>27</v>
      </c>
      <c r="G5" s="1" t="s">
        <v>20</v>
      </c>
      <c r="H5" s="1" t="s">
        <v>28</v>
      </c>
      <c r="I5" s="1" t="s">
        <v>29</v>
      </c>
      <c r="J5" s="1" t="s">
        <v>23</v>
      </c>
      <c r="K5" s="1" t="s">
        <v>24</v>
      </c>
      <c r="L5" s="1" t="s">
        <v>25</v>
      </c>
      <c r="M5" s="1">
        <v>20</v>
      </c>
      <c r="N5" s="1">
        <v>45</v>
      </c>
      <c r="O5" s="1">
        <v>120</v>
      </c>
      <c r="P5" s="1">
        <v>1188</v>
      </c>
      <c r="Q5" s="1">
        <v>900</v>
      </c>
      <c r="R5" s="1">
        <v>2088</v>
      </c>
      <c r="S5">
        <f t="shared" si="0"/>
        <v>0.44444444444444442</v>
      </c>
      <c r="T5">
        <f t="shared" si="1"/>
        <v>1.6835016835016835E-2</v>
      </c>
    </row>
    <row r="6" spans="1:27" ht="60" x14ac:dyDescent="0.25">
      <c r="A6" s="2">
        <v>41774</v>
      </c>
      <c r="B6">
        <v>15</v>
      </c>
      <c r="C6" t="s">
        <v>30</v>
      </c>
      <c r="D6" s="1">
        <v>2014</v>
      </c>
      <c r="E6" s="1">
        <v>47</v>
      </c>
      <c r="F6" s="1" t="s">
        <v>27</v>
      </c>
      <c r="G6" s="1" t="s">
        <v>31</v>
      </c>
      <c r="H6" s="1" t="s">
        <v>28</v>
      </c>
      <c r="I6" s="1" t="s">
        <v>29</v>
      </c>
      <c r="J6" s="1" t="s">
        <v>23</v>
      </c>
      <c r="K6" s="1" t="s">
        <v>24</v>
      </c>
      <c r="L6" s="1" t="s">
        <v>25</v>
      </c>
      <c r="M6" s="1">
        <v>4</v>
      </c>
      <c r="N6" s="1">
        <v>45</v>
      </c>
      <c r="O6" s="1">
        <v>120</v>
      </c>
      <c r="P6" s="1">
        <v>238</v>
      </c>
      <c r="Q6" s="1">
        <v>180</v>
      </c>
      <c r="R6" s="1">
        <v>418</v>
      </c>
      <c r="S6">
        <f t="shared" si="0"/>
        <v>8.8888888888888892E-2</v>
      </c>
      <c r="T6">
        <f t="shared" si="1"/>
        <v>1.680672268907563E-2</v>
      </c>
      <c r="U6" t="s">
        <v>67</v>
      </c>
      <c r="V6" t="s">
        <v>68</v>
      </c>
      <c r="W6" s="3" t="s">
        <v>69</v>
      </c>
    </row>
    <row r="7" spans="1:27" x14ac:dyDescent="0.25">
      <c r="A7" s="2">
        <v>42505</v>
      </c>
      <c r="B7">
        <v>15</v>
      </c>
      <c r="C7" t="s">
        <v>30</v>
      </c>
      <c r="D7" s="1">
        <v>2016</v>
      </c>
      <c r="E7" s="1">
        <v>47</v>
      </c>
      <c r="F7" s="1" t="s">
        <v>27</v>
      </c>
      <c r="G7" s="1" t="s">
        <v>31</v>
      </c>
      <c r="H7" s="1" t="s">
        <v>28</v>
      </c>
      <c r="I7" s="1" t="s">
        <v>29</v>
      </c>
      <c r="J7" s="1" t="s">
        <v>23</v>
      </c>
      <c r="K7" s="1" t="s">
        <v>24</v>
      </c>
      <c r="L7" s="1" t="s">
        <v>25</v>
      </c>
      <c r="M7" s="1">
        <v>5</v>
      </c>
      <c r="N7" s="1">
        <v>45</v>
      </c>
      <c r="O7" s="1">
        <v>120</v>
      </c>
      <c r="P7" s="1">
        <v>297</v>
      </c>
      <c r="Q7" s="1">
        <v>225</v>
      </c>
      <c r="R7" s="1">
        <v>522</v>
      </c>
      <c r="S7">
        <f t="shared" si="0"/>
        <v>0.1111111111111111</v>
      </c>
      <c r="T7">
        <f t="shared" si="1"/>
        <v>1.6835016835016835E-2</v>
      </c>
    </row>
    <row r="8" spans="1:27" x14ac:dyDescent="0.25">
      <c r="A8" s="2">
        <v>41781</v>
      </c>
      <c r="B8">
        <v>22</v>
      </c>
      <c r="C8" t="s">
        <v>30</v>
      </c>
      <c r="D8" s="1">
        <v>2014</v>
      </c>
      <c r="E8" s="1">
        <v>47</v>
      </c>
      <c r="F8" s="1" t="s">
        <v>27</v>
      </c>
      <c r="G8" s="1" t="s">
        <v>31</v>
      </c>
      <c r="H8" s="1" t="s">
        <v>28</v>
      </c>
      <c r="I8" s="1" t="s">
        <v>32</v>
      </c>
      <c r="J8" s="1" t="s">
        <v>23</v>
      </c>
      <c r="K8" s="1" t="s">
        <v>24</v>
      </c>
      <c r="L8" s="1" t="s">
        <v>25</v>
      </c>
      <c r="M8" s="1">
        <v>4</v>
      </c>
      <c r="N8" s="1">
        <v>45</v>
      </c>
      <c r="O8" s="1">
        <v>120</v>
      </c>
      <c r="P8" s="1">
        <v>199</v>
      </c>
      <c r="Q8" s="1">
        <v>180</v>
      </c>
      <c r="R8" s="1">
        <v>379</v>
      </c>
      <c r="S8">
        <f t="shared" si="0"/>
        <v>8.8888888888888892E-2</v>
      </c>
      <c r="T8">
        <f t="shared" si="1"/>
        <v>2.0100502512562814E-2</v>
      </c>
    </row>
    <row r="9" spans="1:27" x14ac:dyDescent="0.25">
      <c r="A9" s="2">
        <v>42512</v>
      </c>
      <c r="B9">
        <v>22</v>
      </c>
      <c r="C9" t="s">
        <v>30</v>
      </c>
      <c r="D9" s="1">
        <v>2016</v>
      </c>
      <c r="E9" s="1">
        <v>47</v>
      </c>
      <c r="F9" s="1" t="s">
        <v>27</v>
      </c>
      <c r="G9" s="1" t="s">
        <v>31</v>
      </c>
      <c r="H9" s="1" t="s">
        <v>28</v>
      </c>
      <c r="I9" s="1" t="s">
        <v>32</v>
      </c>
      <c r="J9" s="1" t="s">
        <v>23</v>
      </c>
      <c r="K9" s="1" t="s">
        <v>24</v>
      </c>
      <c r="L9" s="1" t="s">
        <v>25</v>
      </c>
      <c r="M9" s="1">
        <v>2</v>
      </c>
      <c r="N9" s="1">
        <v>45</v>
      </c>
      <c r="O9" s="1">
        <v>120</v>
      </c>
      <c r="P9" s="1">
        <v>100</v>
      </c>
      <c r="Q9" s="1">
        <v>90</v>
      </c>
      <c r="R9" s="1">
        <v>190</v>
      </c>
      <c r="S9">
        <f t="shared" si="0"/>
        <v>4.4444444444444446E-2</v>
      </c>
      <c r="T9">
        <f t="shared" si="1"/>
        <v>0.02</v>
      </c>
    </row>
    <row r="10" spans="1:27" x14ac:dyDescent="0.25">
      <c r="A10" s="2">
        <v>41692</v>
      </c>
      <c r="B10">
        <v>22</v>
      </c>
      <c r="C10" t="s">
        <v>33</v>
      </c>
      <c r="D10" s="1">
        <v>2014</v>
      </c>
      <c r="E10" s="1">
        <v>35</v>
      </c>
      <c r="F10" s="1" t="s">
        <v>27</v>
      </c>
      <c r="G10" s="1" t="s">
        <v>20</v>
      </c>
      <c r="H10" s="1" t="s">
        <v>28</v>
      </c>
      <c r="I10" s="1" t="s">
        <v>32</v>
      </c>
      <c r="J10" s="1" t="s">
        <v>23</v>
      </c>
      <c r="K10" s="1" t="s">
        <v>24</v>
      </c>
      <c r="L10" s="1" t="s">
        <v>25</v>
      </c>
      <c r="M10" s="1">
        <v>22</v>
      </c>
      <c r="N10" s="1">
        <v>45</v>
      </c>
      <c r="O10" s="1">
        <v>120</v>
      </c>
      <c r="P10" s="1">
        <v>1096</v>
      </c>
      <c r="Q10" s="1">
        <v>990</v>
      </c>
      <c r="R10" s="1">
        <v>2086</v>
      </c>
      <c r="S10">
        <f t="shared" si="0"/>
        <v>0.48888888888888887</v>
      </c>
      <c r="T10">
        <f t="shared" si="1"/>
        <v>2.0072992700729927E-2</v>
      </c>
    </row>
    <row r="11" spans="1:27" x14ac:dyDescent="0.25">
      <c r="A11" s="2">
        <v>42422</v>
      </c>
      <c r="B11">
        <v>22</v>
      </c>
      <c r="C11" t="s">
        <v>33</v>
      </c>
      <c r="D11" s="1">
        <v>2016</v>
      </c>
      <c r="E11" s="1">
        <v>35</v>
      </c>
      <c r="F11" s="1" t="s">
        <v>27</v>
      </c>
      <c r="G11" s="1" t="s">
        <v>20</v>
      </c>
      <c r="H11" s="1" t="s">
        <v>28</v>
      </c>
      <c r="I11" s="1" t="s">
        <v>32</v>
      </c>
      <c r="J11" s="1" t="s">
        <v>23</v>
      </c>
      <c r="K11" s="1" t="s">
        <v>24</v>
      </c>
      <c r="L11" s="1" t="s">
        <v>25</v>
      </c>
      <c r="M11" s="1">
        <v>21</v>
      </c>
      <c r="N11" s="1">
        <v>45</v>
      </c>
      <c r="O11" s="1">
        <v>120</v>
      </c>
      <c r="P11" s="1">
        <v>1046</v>
      </c>
      <c r="Q11" s="1">
        <v>945</v>
      </c>
      <c r="R11" s="1">
        <v>1991</v>
      </c>
      <c r="S11">
        <f t="shared" si="0"/>
        <v>0.46666666666666667</v>
      </c>
      <c r="T11">
        <f t="shared" si="1"/>
        <v>2.0076481835564052E-2</v>
      </c>
    </row>
    <row r="12" spans="1:27" x14ac:dyDescent="0.25">
      <c r="A12" s="2">
        <v>41485</v>
      </c>
      <c r="B12">
        <v>30</v>
      </c>
      <c r="C12" t="s">
        <v>34</v>
      </c>
      <c r="D12" s="1">
        <v>2013</v>
      </c>
      <c r="E12" s="1">
        <v>32</v>
      </c>
      <c r="F12" s="1" t="s">
        <v>35</v>
      </c>
      <c r="G12" s="1" t="s">
        <v>31</v>
      </c>
      <c r="H12" s="1" t="s">
        <v>28</v>
      </c>
      <c r="I12" s="1" t="s">
        <v>32</v>
      </c>
      <c r="J12" s="1" t="s">
        <v>23</v>
      </c>
      <c r="K12" s="1" t="s">
        <v>24</v>
      </c>
      <c r="L12" s="1" t="s">
        <v>25</v>
      </c>
      <c r="M12" s="1">
        <v>8</v>
      </c>
      <c r="N12" s="1">
        <v>45</v>
      </c>
      <c r="O12" s="1">
        <v>120</v>
      </c>
      <c r="P12" s="1">
        <v>398</v>
      </c>
      <c r="Q12" s="1">
        <v>360</v>
      </c>
      <c r="R12" s="1">
        <v>758</v>
      </c>
      <c r="S12">
        <f t="shared" si="0"/>
        <v>0.17777777777777778</v>
      </c>
      <c r="T12">
        <f t="shared" si="1"/>
        <v>2.0100502512562814E-2</v>
      </c>
    </row>
    <row r="13" spans="1:27" x14ac:dyDescent="0.25">
      <c r="A13" s="2">
        <v>42215</v>
      </c>
      <c r="B13">
        <v>30</v>
      </c>
      <c r="C13" t="s">
        <v>34</v>
      </c>
      <c r="D13" s="1">
        <v>2015</v>
      </c>
      <c r="E13" s="1">
        <v>32</v>
      </c>
      <c r="F13" s="1" t="s">
        <v>35</v>
      </c>
      <c r="G13" s="1" t="s">
        <v>31</v>
      </c>
      <c r="H13" s="1" t="s">
        <v>28</v>
      </c>
      <c r="I13" s="1" t="s">
        <v>32</v>
      </c>
      <c r="J13" s="1" t="s">
        <v>23</v>
      </c>
      <c r="K13" s="1" t="s">
        <v>24</v>
      </c>
      <c r="L13" s="1" t="s">
        <v>25</v>
      </c>
      <c r="M13" s="1">
        <v>8</v>
      </c>
      <c r="N13" s="1">
        <v>45</v>
      </c>
      <c r="O13" s="1">
        <v>120</v>
      </c>
      <c r="P13" s="1">
        <v>398</v>
      </c>
      <c r="Q13" s="1">
        <v>360</v>
      </c>
      <c r="R13" s="1">
        <v>758</v>
      </c>
      <c r="S13">
        <f t="shared" si="0"/>
        <v>0.17777777777777778</v>
      </c>
      <c r="T13">
        <f t="shared" si="1"/>
        <v>2.0100502512562814E-2</v>
      </c>
    </row>
    <row r="14" spans="1:27" x14ac:dyDescent="0.25">
      <c r="A14" s="2">
        <v>41470</v>
      </c>
      <c r="B14">
        <v>15</v>
      </c>
      <c r="C14" t="s">
        <v>34</v>
      </c>
      <c r="D14" s="1">
        <v>2013</v>
      </c>
      <c r="E14" s="1">
        <v>34</v>
      </c>
      <c r="F14" s="1" t="s">
        <v>35</v>
      </c>
      <c r="G14" s="1" t="s">
        <v>20</v>
      </c>
      <c r="H14" s="1" t="s">
        <v>28</v>
      </c>
      <c r="I14" s="1" t="s">
        <v>32</v>
      </c>
      <c r="J14" s="1" t="s">
        <v>23</v>
      </c>
      <c r="K14" s="1" t="s">
        <v>24</v>
      </c>
      <c r="L14" s="1" t="s">
        <v>25</v>
      </c>
      <c r="M14" s="1">
        <v>7</v>
      </c>
      <c r="N14" s="1">
        <v>0</v>
      </c>
      <c r="O14" s="1">
        <v>120</v>
      </c>
      <c r="P14" s="1">
        <v>349</v>
      </c>
      <c r="Q14" s="1">
        <v>315</v>
      </c>
      <c r="R14" s="1">
        <v>664</v>
      </c>
      <c r="S14" t="e">
        <f t="shared" si="0"/>
        <v>#DIV/0!</v>
      </c>
      <c r="T14">
        <f t="shared" si="1"/>
        <v>2.0057306590257881E-2</v>
      </c>
    </row>
    <row r="15" spans="1:27" x14ac:dyDescent="0.25">
      <c r="A15" s="2">
        <v>42200</v>
      </c>
      <c r="B15">
        <v>15</v>
      </c>
      <c r="C15" t="s">
        <v>34</v>
      </c>
      <c r="D15" s="1">
        <v>2015</v>
      </c>
      <c r="E15" s="1">
        <v>34</v>
      </c>
      <c r="F15" s="1" t="s">
        <v>35</v>
      </c>
      <c r="G15" s="1" t="s">
        <v>20</v>
      </c>
      <c r="H15" s="1" t="s">
        <v>28</v>
      </c>
      <c r="I15" s="1" t="s">
        <v>32</v>
      </c>
      <c r="J15" s="1" t="s">
        <v>23</v>
      </c>
      <c r="K15" s="1" t="s">
        <v>24</v>
      </c>
      <c r="L15" s="1" t="s">
        <v>25</v>
      </c>
      <c r="M15" s="1">
        <v>7</v>
      </c>
      <c r="N15" s="1">
        <v>45</v>
      </c>
      <c r="O15" s="1">
        <v>120</v>
      </c>
      <c r="P15" s="1">
        <v>349</v>
      </c>
      <c r="Q15" s="1">
        <v>315</v>
      </c>
      <c r="R15" s="1">
        <v>664</v>
      </c>
      <c r="S15">
        <f t="shared" si="0"/>
        <v>0.15555555555555556</v>
      </c>
      <c r="T15">
        <f t="shared" si="1"/>
        <v>2.0057306590257881E-2</v>
      </c>
    </row>
    <row r="16" spans="1:27" x14ac:dyDescent="0.25">
      <c r="A16" s="2">
        <v>41488</v>
      </c>
      <c r="B16">
        <v>2</v>
      </c>
      <c r="C16" t="s">
        <v>36</v>
      </c>
      <c r="D16" s="1">
        <v>2013</v>
      </c>
      <c r="E16" s="1">
        <v>29</v>
      </c>
      <c r="F16" s="1" t="s">
        <v>35</v>
      </c>
      <c r="G16" s="1" t="s">
        <v>20</v>
      </c>
      <c r="H16" s="1" t="s">
        <v>21</v>
      </c>
      <c r="I16" s="1" t="s">
        <v>22</v>
      </c>
      <c r="J16" s="1" t="s">
        <v>23</v>
      </c>
      <c r="K16" s="1" t="s">
        <v>24</v>
      </c>
      <c r="L16" s="1" t="s">
        <v>25</v>
      </c>
      <c r="M16" s="1">
        <v>5</v>
      </c>
      <c r="N16" s="1">
        <v>0</v>
      </c>
      <c r="O16" s="1">
        <v>120</v>
      </c>
      <c r="P16" s="1">
        <v>369</v>
      </c>
      <c r="Q16" s="1">
        <v>225</v>
      </c>
      <c r="R16" s="1">
        <v>594</v>
      </c>
      <c r="S16" t="e">
        <f t="shared" si="0"/>
        <v>#DIV/0!</v>
      </c>
      <c r="T16">
        <f t="shared" si="1"/>
        <v>1.3550135501355014E-2</v>
      </c>
      <c r="AA16" s="3"/>
    </row>
    <row r="17" spans="1:44" x14ac:dyDescent="0.25">
      <c r="A17" s="2">
        <v>42218</v>
      </c>
      <c r="B17">
        <v>2</v>
      </c>
      <c r="C17" t="s">
        <v>36</v>
      </c>
      <c r="D17" s="1">
        <v>2015</v>
      </c>
      <c r="E17" s="1">
        <v>29</v>
      </c>
      <c r="F17" s="1" t="s">
        <v>35</v>
      </c>
      <c r="G17" s="1" t="s">
        <v>20</v>
      </c>
      <c r="H17" s="1" t="s">
        <v>21</v>
      </c>
      <c r="I17" s="1" t="s">
        <v>22</v>
      </c>
      <c r="J17" s="1" t="s">
        <v>23</v>
      </c>
      <c r="K17" s="1" t="s">
        <v>24</v>
      </c>
      <c r="L17" s="1" t="s">
        <v>25</v>
      </c>
      <c r="M17" s="1">
        <v>7</v>
      </c>
      <c r="N17" s="1">
        <v>45</v>
      </c>
      <c r="O17" s="1">
        <v>120</v>
      </c>
      <c r="P17" s="1">
        <v>517</v>
      </c>
      <c r="Q17" s="1">
        <v>315</v>
      </c>
      <c r="R17" s="1">
        <v>832</v>
      </c>
      <c r="S17">
        <f t="shared" si="0"/>
        <v>0.15555555555555556</v>
      </c>
      <c r="T17">
        <f t="shared" si="1"/>
        <v>1.3539651837524178E-2</v>
      </c>
    </row>
    <row r="18" spans="1:44" x14ac:dyDescent="0.25">
      <c r="A18" s="2">
        <v>41519</v>
      </c>
      <c r="B18">
        <v>2</v>
      </c>
      <c r="C18" t="s">
        <v>37</v>
      </c>
      <c r="D18" s="1">
        <v>2013</v>
      </c>
      <c r="E18" s="1">
        <v>29</v>
      </c>
      <c r="F18" s="1" t="s">
        <v>35</v>
      </c>
      <c r="G18" s="1" t="s">
        <v>20</v>
      </c>
      <c r="H18" s="1" t="s">
        <v>21</v>
      </c>
      <c r="I18" s="1" t="s">
        <v>22</v>
      </c>
      <c r="J18" s="1" t="s">
        <v>23</v>
      </c>
      <c r="K18" s="1" t="s">
        <v>24</v>
      </c>
      <c r="L18" s="1" t="s">
        <v>25</v>
      </c>
      <c r="M18" s="1">
        <v>2</v>
      </c>
      <c r="N18" s="1">
        <v>45</v>
      </c>
      <c r="O18" s="1">
        <v>120</v>
      </c>
      <c r="P18" s="1">
        <v>148</v>
      </c>
      <c r="Q18" s="1">
        <v>90</v>
      </c>
      <c r="R18" s="1">
        <v>238</v>
      </c>
      <c r="S18">
        <f t="shared" si="0"/>
        <v>4.4444444444444446E-2</v>
      </c>
      <c r="T18">
        <f t="shared" si="1"/>
        <v>1.3513513513513514E-2</v>
      </c>
    </row>
    <row r="19" spans="1:44" ht="15" customHeight="1" x14ac:dyDescent="0.25">
      <c r="A19" s="2">
        <v>42249</v>
      </c>
      <c r="B19">
        <v>2</v>
      </c>
      <c r="C19" t="s">
        <v>37</v>
      </c>
      <c r="D19" s="1">
        <v>2015</v>
      </c>
      <c r="E19" s="1">
        <v>29</v>
      </c>
      <c r="F19" s="1" t="s">
        <v>35</v>
      </c>
      <c r="G19" s="1" t="s">
        <v>20</v>
      </c>
      <c r="H19" s="1" t="s">
        <v>21</v>
      </c>
      <c r="I19" s="1" t="s">
        <v>22</v>
      </c>
      <c r="J19" s="1" t="s">
        <v>23</v>
      </c>
      <c r="K19" s="1" t="s">
        <v>24</v>
      </c>
      <c r="L19" s="1" t="s">
        <v>25</v>
      </c>
      <c r="M19" s="1">
        <v>1</v>
      </c>
      <c r="N19" s="1">
        <v>45</v>
      </c>
      <c r="O19" s="1">
        <v>120</v>
      </c>
      <c r="P19" s="1">
        <v>74</v>
      </c>
      <c r="Q19" s="1">
        <v>45</v>
      </c>
      <c r="R19" s="1">
        <v>119</v>
      </c>
      <c r="S19">
        <f t="shared" si="0"/>
        <v>2.2222222222222223E-2</v>
      </c>
      <c r="T19">
        <f t="shared" si="1"/>
        <v>1.3513513513513514E-2</v>
      </c>
      <c r="AG19" s="5" t="s">
        <v>73</v>
      </c>
      <c r="AH19" s="4"/>
      <c r="AI19" s="4"/>
      <c r="AJ19" s="4"/>
      <c r="AK19" s="4"/>
      <c r="AL19" s="4"/>
      <c r="AM19" s="4"/>
    </row>
    <row r="20" spans="1:44" x14ac:dyDescent="0.25">
      <c r="A20" s="2">
        <v>41661</v>
      </c>
      <c r="B20">
        <v>22</v>
      </c>
      <c r="C20" t="s">
        <v>38</v>
      </c>
      <c r="D20" s="1">
        <v>2014</v>
      </c>
      <c r="E20" s="1">
        <v>29</v>
      </c>
      <c r="F20" s="1" t="s">
        <v>35</v>
      </c>
      <c r="G20" s="1" t="s">
        <v>20</v>
      </c>
      <c r="H20" s="1" t="s">
        <v>21</v>
      </c>
      <c r="I20" s="1" t="s">
        <v>22</v>
      </c>
      <c r="J20" s="1" t="s">
        <v>23</v>
      </c>
      <c r="K20" s="1" t="s">
        <v>24</v>
      </c>
      <c r="L20" s="1" t="s">
        <v>25</v>
      </c>
      <c r="M20" s="1">
        <v>1</v>
      </c>
      <c r="N20" s="1">
        <v>45</v>
      </c>
      <c r="O20" s="1">
        <v>120</v>
      </c>
      <c r="P20" s="1">
        <v>74</v>
      </c>
      <c r="Q20" s="1">
        <v>45</v>
      </c>
      <c r="R20" s="1">
        <v>119</v>
      </c>
      <c r="S20">
        <f t="shared" si="0"/>
        <v>2.2222222222222223E-2</v>
      </c>
      <c r="T20">
        <f t="shared" si="1"/>
        <v>1.3513513513513514E-2</v>
      </c>
      <c r="AG20" s="4"/>
      <c r="AH20" s="4"/>
      <c r="AI20" s="4"/>
      <c r="AJ20" s="4"/>
      <c r="AK20" s="4"/>
      <c r="AL20" s="4"/>
      <c r="AM20" s="4"/>
    </row>
    <row r="21" spans="1:44" x14ac:dyDescent="0.25">
      <c r="A21" s="2">
        <v>42391</v>
      </c>
      <c r="B21">
        <v>22</v>
      </c>
      <c r="C21" t="s">
        <v>38</v>
      </c>
      <c r="D21" s="1">
        <v>2016</v>
      </c>
      <c r="E21" s="1">
        <v>29</v>
      </c>
      <c r="F21" s="1" t="s">
        <v>35</v>
      </c>
      <c r="G21" s="1" t="s">
        <v>20</v>
      </c>
      <c r="H21" s="1" t="s">
        <v>21</v>
      </c>
      <c r="I21" s="1" t="s">
        <v>22</v>
      </c>
      <c r="J21" s="1" t="s">
        <v>23</v>
      </c>
      <c r="K21" s="1" t="s">
        <v>24</v>
      </c>
      <c r="L21" s="1" t="s">
        <v>25</v>
      </c>
      <c r="M21" s="1">
        <v>1</v>
      </c>
      <c r="N21" s="1">
        <v>45</v>
      </c>
      <c r="O21" s="1">
        <v>120</v>
      </c>
      <c r="P21" s="1">
        <v>74</v>
      </c>
      <c r="Q21" s="1">
        <v>45</v>
      </c>
      <c r="R21" s="1">
        <v>119</v>
      </c>
      <c r="S21">
        <f t="shared" si="0"/>
        <v>2.2222222222222223E-2</v>
      </c>
      <c r="T21">
        <f t="shared" si="1"/>
        <v>1.3513513513513514E-2</v>
      </c>
    </row>
    <row r="22" spans="1:44" x14ac:dyDescent="0.25">
      <c r="A22" s="2">
        <v>41776</v>
      </c>
      <c r="B22">
        <v>17</v>
      </c>
      <c r="C22" t="s">
        <v>30</v>
      </c>
      <c r="D22" s="1">
        <v>2014</v>
      </c>
      <c r="E22" s="1">
        <v>29</v>
      </c>
      <c r="F22" s="1" t="s">
        <v>35</v>
      </c>
      <c r="G22" s="1" t="s">
        <v>20</v>
      </c>
      <c r="H22" s="1" t="s">
        <v>21</v>
      </c>
      <c r="I22" s="1" t="s">
        <v>22</v>
      </c>
      <c r="J22" s="1" t="s">
        <v>23</v>
      </c>
      <c r="K22" s="1" t="s">
        <v>24</v>
      </c>
      <c r="L22" s="1" t="s">
        <v>25</v>
      </c>
      <c r="M22" s="1">
        <v>6</v>
      </c>
      <c r="N22" s="1">
        <v>45</v>
      </c>
      <c r="O22" s="1">
        <v>0</v>
      </c>
      <c r="P22" s="1">
        <v>443</v>
      </c>
      <c r="Q22" s="1">
        <v>270</v>
      </c>
      <c r="R22" s="1">
        <v>713</v>
      </c>
      <c r="S22">
        <f t="shared" si="0"/>
        <v>0.13333333333333333</v>
      </c>
      <c r="T22">
        <f t="shared" si="1"/>
        <v>1.3544018058690745E-2</v>
      </c>
      <c r="AG22" s="1" t="s">
        <v>74</v>
      </c>
      <c r="AH22" s="1" t="s">
        <v>78</v>
      </c>
      <c r="AI22" s="1" t="s">
        <v>79</v>
      </c>
      <c r="AJ22" s="1" t="s">
        <v>80</v>
      </c>
      <c r="AK22" s="1" t="s">
        <v>81</v>
      </c>
      <c r="AL22" s="1" t="s">
        <v>82</v>
      </c>
      <c r="AM22" s="1" t="s">
        <v>83</v>
      </c>
      <c r="AP22">
        <f>AM23</f>
        <v>97.000000000000028</v>
      </c>
      <c r="AR22">
        <f>AM23</f>
        <v>97.000000000000028</v>
      </c>
    </row>
    <row r="23" spans="1:44" x14ac:dyDescent="0.25">
      <c r="A23" s="2">
        <v>42507</v>
      </c>
      <c r="B23">
        <v>17</v>
      </c>
      <c r="C23" t="s">
        <v>30</v>
      </c>
      <c r="D23" s="1">
        <v>2016</v>
      </c>
      <c r="E23" s="1">
        <v>29</v>
      </c>
      <c r="F23" s="1" t="s">
        <v>35</v>
      </c>
      <c r="G23" s="1" t="s">
        <v>20</v>
      </c>
      <c r="H23" s="1" t="s">
        <v>21</v>
      </c>
      <c r="I23" s="1" t="s">
        <v>22</v>
      </c>
      <c r="J23" s="1" t="s">
        <v>23</v>
      </c>
      <c r="K23" s="1" t="s">
        <v>24</v>
      </c>
      <c r="L23" s="1" t="s">
        <v>25</v>
      </c>
      <c r="M23" s="1">
        <v>8</v>
      </c>
      <c r="N23" s="1">
        <v>45</v>
      </c>
      <c r="O23" s="1">
        <v>120</v>
      </c>
      <c r="P23" s="1">
        <v>590</v>
      </c>
      <c r="Q23" s="1">
        <v>360</v>
      </c>
      <c r="R23" s="1">
        <v>950</v>
      </c>
      <c r="S23">
        <f t="shared" si="0"/>
        <v>0.17777777777777778</v>
      </c>
      <c r="T23">
        <f t="shared" si="1"/>
        <v>1.3559322033898305E-2</v>
      </c>
      <c r="AG23" s="1" t="s">
        <v>61</v>
      </c>
      <c r="AH23" s="1">
        <v>78</v>
      </c>
      <c r="AI23" s="1">
        <v>68</v>
      </c>
      <c r="AJ23" s="1">
        <v>75</v>
      </c>
      <c r="AK23" s="1">
        <v>98</v>
      </c>
      <c r="AL23" s="1">
        <v>166.00000000000011</v>
      </c>
      <c r="AM23" s="1">
        <f>AVERAGE(Table1[[#This Row],[Captone]],Table1[[#This Row],[Semister4]],Table1[[#This Row],[Semister3]],Table1[[#This Row],[semister 2]],Table1[[#This Row],[Semister 1]])</f>
        <v>97.000000000000028</v>
      </c>
      <c r="AO23">
        <v>79</v>
      </c>
      <c r="AP23">
        <f t="dataTable" ref="AP23:AP27" dt2D="0" dtr="0" r1="AH23" ca="1"/>
        <v>97.200000000000017</v>
      </c>
      <c r="AQ23">
        <v>69</v>
      </c>
      <c r="AR23">
        <f t="dataTable" ref="AR23:AR27" dt2D="0" dtr="0" r1="AI23"/>
        <v>97.200000000000017</v>
      </c>
    </row>
    <row r="24" spans="1:44" x14ac:dyDescent="0.25">
      <c r="A24" s="2">
        <v>41725</v>
      </c>
      <c r="B24">
        <v>27</v>
      </c>
      <c r="C24" t="s">
        <v>26</v>
      </c>
      <c r="D24" s="1">
        <v>2014</v>
      </c>
      <c r="E24" s="1">
        <v>51</v>
      </c>
      <c r="F24" s="1" t="s">
        <v>27</v>
      </c>
      <c r="G24" s="1" t="s">
        <v>20</v>
      </c>
      <c r="H24" s="1" t="s">
        <v>39</v>
      </c>
      <c r="I24" s="1" t="s">
        <v>40</v>
      </c>
      <c r="J24" s="1" t="s">
        <v>23</v>
      </c>
      <c r="K24" s="1" t="s">
        <v>24</v>
      </c>
      <c r="L24" s="1" t="s">
        <v>25</v>
      </c>
      <c r="M24" s="1">
        <v>9</v>
      </c>
      <c r="N24" s="1">
        <v>45</v>
      </c>
      <c r="O24" s="1">
        <v>120</v>
      </c>
      <c r="P24" s="1">
        <v>524</v>
      </c>
      <c r="Q24" s="1">
        <v>405</v>
      </c>
      <c r="R24" s="1">
        <v>929</v>
      </c>
      <c r="S24">
        <f t="shared" si="0"/>
        <v>0.2</v>
      </c>
      <c r="T24">
        <f t="shared" si="1"/>
        <v>1.717557251908397E-2</v>
      </c>
      <c r="AG24" s="1" t="s">
        <v>62</v>
      </c>
      <c r="AH24" s="1">
        <v>96</v>
      </c>
      <c r="AI24" s="1">
        <v>92</v>
      </c>
      <c r="AJ24" s="1">
        <v>87</v>
      </c>
      <c r="AK24" s="1">
        <v>99</v>
      </c>
      <c r="AL24" s="1">
        <v>70.999999999999943</v>
      </c>
      <c r="AM24" s="1">
        <f>AVERAGE(Table1[[#This Row],[Captone]],Table1[[#This Row],[Semister4]],Table1[[#This Row],[Semister3]],Table1[[#This Row],[semister 2]],Table1[[#This Row],[Semister 1]])</f>
        <v>88.999999999999986</v>
      </c>
      <c r="AO24">
        <v>97</v>
      </c>
      <c r="AP24">
        <v>100.80000000000003</v>
      </c>
      <c r="AQ24">
        <v>93</v>
      </c>
      <c r="AR24">
        <v>102.00000000000003</v>
      </c>
    </row>
    <row r="25" spans="1:44" x14ac:dyDescent="0.25">
      <c r="A25" s="2">
        <v>42456</v>
      </c>
      <c r="B25">
        <v>27</v>
      </c>
      <c r="C25" t="s">
        <v>26</v>
      </c>
      <c r="D25" s="1">
        <v>2016</v>
      </c>
      <c r="E25" s="1">
        <v>51</v>
      </c>
      <c r="F25" s="1" t="s">
        <v>27</v>
      </c>
      <c r="G25" s="1" t="s">
        <v>20</v>
      </c>
      <c r="H25" s="1" t="s">
        <v>39</v>
      </c>
      <c r="I25" s="1" t="s">
        <v>40</v>
      </c>
      <c r="J25" s="1" t="s">
        <v>23</v>
      </c>
      <c r="K25" s="1" t="s">
        <v>24</v>
      </c>
      <c r="L25" s="1" t="s">
        <v>25</v>
      </c>
      <c r="M25" s="1">
        <v>7</v>
      </c>
      <c r="N25" s="1">
        <v>45</v>
      </c>
      <c r="O25" s="1">
        <v>120</v>
      </c>
      <c r="P25" s="1">
        <v>407</v>
      </c>
      <c r="Q25" s="1">
        <v>315</v>
      </c>
      <c r="R25" s="1">
        <v>722</v>
      </c>
      <c r="S25">
        <f t="shared" si="0"/>
        <v>0.15555555555555556</v>
      </c>
      <c r="T25">
        <f t="shared" si="1"/>
        <v>1.7199017199017199E-2</v>
      </c>
      <c r="AG25" s="1" t="s">
        <v>75</v>
      </c>
      <c r="AH25" s="1">
        <v>65</v>
      </c>
      <c r="AI25" s="1">
        <v>78</v>
      </c>
      <c r="AJ25" s="1">
        <v>69</v>
      </c>
      <c r="AK25" s="1">
        <v>90</v>
      </c>
      <c r="AL25" s="1">
        <v>97.999999999999972</v>
      </c>
      <c r="AM25" s="1">
        <f>AVERAGE(Table1[[#This Row],[Captone]],Table1[[#This Row],[Semister4]],Table1[[#This Row],[Semister3]],Table1[[#This Row],[semister 2]],Table1[[#This Row],[Semister 1]])</f>
        <v>80</v>
      </c>
      <c r="AO25">
        <v>68</v>
      </c>
      <c r="AP25">
        <v>95.000000000000028</v>
      </c>
      <c r="AQ25">
        <v>79</v>
      </c>
      <c r="AR25">
        <v>99.200000000000017</v>
      </c>
    </row>
    <row r="26" spans="1:44" x14ac:dyDescent="0.25">
      <c r="A26" s="2">
        <v>41511</v>
      </c>
      <c r="B26">
        <v>25</v>
      </c>
      <c r="C26" t="s">
        <v>36</v>
      </c>
      <c r="D26" s="1">
        <v>2013</v>
      </c>
      <c r="E26" s="1">
        <v>49</v>
      </c>
      <c r="F26" s="1" t="s">
        <v>27</v>
      </c>
      <c r="G26" s="1" t="s">
        <v>20</v>
      </c>
      <c r="H26" s="1" t="s">
        <v>21</v>
      </c>
      <c r="I26" s="1" t="s">
        <v>22</v>
      </c>
      <c r="J26" s="1" t="s">
        <v>23</v>
      </c>
      <c r="K26" s="1" t="s">
        <v>24</v>
      </c>
      <c r="L26" s="1" t="s">
        <v>25</v>
      </c>
      <c r="M26" s="1">
        <v>3</v>
      </c>
      <c r="N26" s="1">
        <v>0</v>
      </c>
      <c r="O26" s="1">
        <v>120</v>
      </c>
      <c r="P26" s="1">
        <v>221</v>
      </c>
      <c r="Q26" s="1">
        <v>135</v>
      </c>
      <c r="R26" s="1">
        <v>356</v>
      </c>
      <c r="S26" t="e">
        <f t="shared" si="0"/>
        <v>#DIV/0!</v>
      </c>
      <c r="T26">
        <f t="shared" si="1"/>
        <v>1.3574660633484163E-2</v>
      </c>
      <c r="AG26" s="1" t="s">
        <v>76</v>
      </c>
      <c r="AH26" s="1">
        <v>87</v>
      </c>
      <c r="AI26" s="1">
        <v>91</v>
      </c>
      <c r="AJ26" s="1">
        <v>89</v>
      </c>
      <c r="AK26" s="1">
        <v>67</v>
      </c>
      <c r="AL26" s="1">
        <v>56</v>
      </c>
      <c r="AM26" s="1">
        <f>AVERAGE(Table1[[#This Row],[Captone]],Table1[[#This Row],[Semister4]],Table1[[#This Row],[Semister3]],Table1[[#This Row],[semister 2]],Table1[[#This Row],[Semister 1]])</f>
        <v>78</v>
      </c>
      <c r="AO26">
        <v>95</v>
      </c>
      <c r="AP26">
        <v>100.40000000000002</v>
      </c>
      <c r="AQ26">
        <v>92</v>
      </c>
      <c r="AR26">
        <v>101.80000000000003</v>
      </c>
    </row>
    <row r="27" spans="1:44" x14ac:dyDescent="0.25">
      <c r="A27" s="2">
        <v>42241</v>
      </c>
      <c r="B27">
        <v>25</v>
      </c>
      <c r="C27" t="s">
        <v>36</v>
      </c>
      <c r="D27" s="1">
        <v>2015</v>
      </c>
      <c r="E27" s="1">
        <v>49</v>
      </c>
      <c r="F27" s="1" t="s">
        <v>27</v>
      </c>
      <c r="G27" s="1" t="s">
        <v>20</v>
      </c>
      <c r="H27" s="1" t="s">
        <v>21</v>
      </c>
      <c r="I27" s="1" t="s">
        <v>22</v>
      </c>
      <c r="J27" s="1" t="s">
        <v>23</v>
      </c>
      <c r="K27" s="1" t="s">
        <v>24</v>
      </c>
      <c r="L27" s="1" t="s">
        <v>25</v>
      </c>
      <c r="M27" s="1">
        <v>1</v>
      </c>
      <c r="N27" s="1">
        <v>45</v>
      </c>
      <c r="O27" s="1">
        <v>120</v>
      </c>
      <c r="P27" s="1">
        <v>74</v>
      </c>
      <c r="Q27" s="1">
        <v>45</v>
      </c>
      <c r="R27" s="1">
        <v>119</v>
      </c>
      <c r="S27">
        <f t="shared" si="0"/>
        <v>2.2222222222222223E-2</v>
      </c>
      <c r="T27">
        <f t="shared" si="1"/>
        <v>1.3513513513513514E-2</v>
      </c>
      <c r="AG27" s="1" t="s">
        <v>77</v>
      </c>
      <c r="AH27" s="1">
        <v>92</v>
      </c>
      <c r="AI27" s="1">
        <v>83</v>
      </c>
      <c r="AJ27" s="1">
        <v>90</v>
      </c>
      <c r="AK27" s="1">
        <v>65</v>
      </c>
      <c r="AL27" s="1">
        <v>44.999999999999964</v>
      </c>
      <c r="AM27" s="1">
        <f>AVERAGE(Table1[[#This Row],[Captone]],Table1[[#This Row],[Semister4]],Table1[[#This Row],[Semister3]],Table1[[#This Row],[semister 2]],Table1[[#This Row],[Semister 1]])</f>
        <v>75</v>
      </c>
      <c r="AO27">
        <v>78</v>
      </c>
      <c r="AP27">
        <v>97.000000000000028</v>
      </c>
      <c r="AQ27">
        <v>83</v>
      </c>
      <c r="AR27">
        <v>100.00000000000003</v>
      </c>
    </row>
    <row r="28" spans="1:44" x14ac:dyDescent="0.25">
      <c r="A28" s="2">
        <v>41634</v>
      </c>
      <c r="B28">
        <v>26</v>
      </c>
      <c r="C28" t="s">
        <v>41</v>
      </c>
      <c r="D28" s="1">
        <v>2013</v>
      </c>
      <c r="E28" s="1">
        <v>49</v>
      </c>
      <c r="F28" s="1" t="s">
        <v>27</v>
      </c>
      <c r="G28" s="1" t="s">
        <v>20</v>
      </c>
      <c r="H28" s="1" t="s">
        <v>21</v>
      </c>
      <c r="I28" s="1" t="s">
        <v>22</v>
      </c>
      <c r="J28" s="1" t="s">
        <v>71</v>
      </c>
      <c r="K28" s="1" t="s">
        <v>24</v>
      </c>
      <c r="L28" s="1" t="s">
        <v>25</v>
      </c>
      <c r="M28" s="1">
        <v>6</v>
      </c>
      <c r="N28" s="1">
        <v>45</v>
      </c>
      <c r="O28" s="1">
        <v>120</v>
      </c>
      <c r="P28" s="1">
        <v>443</v>
      </c>
      <c r="Q28" s="1">
        <v>270</v>
      </c>
      <c r="R28" s="1">
        <v>713</v>
      </c>
      <c r="S28">
        <f t="shared" si="0"/>
        <v>0.13333333333333333</v>
      </c>
      <c r="T28">
        <f t="shared" si="1"/>
        <v>1.3544018058690745E-2</v>
      </c>
    </row>
    <row r="29" spans="1:44" x14ac:dyDescent="0.25">
      <c r="A29" s="2">
        <v>42364</v>
      </c>
      <c r="B29">
        <v>26</v>
      </c>
      <c r="C29" t="s">
        <v>41</v>
      </c>
      <c r="D29" s="1">
        <v>2015</v>
      </c>
      <c r="E29" s="1">
        <v>49</v>
      </c>
      <c r="F29" s="1" t="s">
        <v>27</v>
      </c>
      <c r="G29" s="1" t="s">
        <v>20</v>
      </c>
      <c r="H29" s="1" t="s">
        <v>21</v>
      </c>
      <c r="I29" s="1" t="s">
        <v>22</v>
      </c>
      <c r="J29" s="1" t="s">
        <v>23</v>
      </c>
      <c r="K29" s="1" t="s">
        <v>24</v>
      </c>
      <c r="L29" s="1" t="s">
        <v>25</v>
      </c>
      <c r="M29" s="1">
        <v>5</v>
      </c>
      <c r="N29" s="1">
        <v>45</v>
      </c>
      <c r="O29" s="1">
        <v>120</v>
      </c>
      <c r="P29" s="1">
        <v>369</v>
      </c>
      <c r="Q29" s="1">
        <v>225</v>
      </c>
      <c r="R29" s="1">
        <v>594</v>
      </c>
      <c r="S29">
        <f t="shared" si="0"/>
        <v>0.1111111111111111</v>
      </c>
      <c r="T29">
        <f t="shared" si="1"/>
        <v>1.3550135501355014E-2</v>
      </c>
    </row>
    <row r="30" spans="1:44" x14ac:dyDescent="0.25">
      <c r="A30" s="2">
        <v>41641</v>
      </c>
      <c r="B30">
        <v>2</v>
      </c>
      <c r="C30" t="s">
        <v>38</v>
      </c>
      <c r="D30" s="1">
        <v>2014</v>
      </c>
      <c r="E30" s="1">
        <v>48</v>
      </c>
      <c r="F30" s="1" t="s">
        <v>27</v>
      </c>
      <c r="G30" s="1" t="s">
        <v>31</v>
      </c>
      <c r="H30" s="1" t="s">
        <v>21</v>
      </c>
      <c r="I30" s="1" t="s">
        <v>22</v>
      </c>
      <c r="J30" s="1" t="s">
        <v>23</v>
      </c>
      <c r="K30" s="1" t="s">
        <v>24</v>
      </c>
      <c r="L30" s="1" t="s">
        <v>25</v>
      </c>
      <c r="M30" s="1">
        <v>4</v>
      </c>
      <c r="N30" s="1">
        <v>45</v>
      </c>
      <c r="O30" s="1">
        <v>120</v>
      </c>
      <c r="P30" s="1">
        <v>295</v>
      </c>
      <c r="Q30" s="1">
        <v>180</v>
      </c>
      <c r="R30" s="1">
        <v>475</v>
      </c>
      <c r="S30">
        <f t="shared" si="0"/>
        <v>8.8888888888888892E-2</v>
      </c>
      <c r="T30">
        <f t="shared" si="1"/>
        <v>1.3559322033898305E-2</v>
      </c>
    </row>
    <row r="31" spans="1:44" x14ac:dyDescent="0.25">
      <c r="A31" s="2">
        <v>42371</v>
      </c>
      <c r="B31">
        <v>2</v>
      </c>
      <c r="C31" t="s">
        <v>38</v>
      </c>
      <c r="D31" s="1">
        <v>2016</v>
      </c>
      <c r="E31" s="1">
        <v>48</v>
      </c>
      <c r="F31" s="1" t="s">
        <v>27</v>
      </c>
      <c r="G31" s="1" t="s">
        <v>31</v>
      </c>
      <c r="H31" s="1" t="s">
        <v>21</v>
      </c>
      <c r="I31" s="1" t="s">
        <v>22</v>
      </c>
      <c r="J31" s="1" t="s">
        <v>23</v>
      </c>
      <c r="K31" s="1" t="s">
        <v>24</v>
      </c>
      <c r="L31" s="1" t="s">
        <v>25</v>
      </c>
      <c r="M31" s="1">
        <v>4</v>
      </c>
      <c r="N31" s="1">
        <v>45</v>
      </c>
      <c r="O31" s="1">
        <v>120</v>
      </c>
      <c r="P31" s="1">
        <v>295</v>
      </c>
      <c r="Q31" s="1">
        <v>180</v>
      </c>
      <c r="R31" s="1">
        <v>475</v>
      </c>
      <c r="S31">
        <f t="shared" si="0"/>
        <v>8.8888888888888892E-2</v>
      </c>
      <c r="T31">
        <f t="shared" si="1"/>
        <v>1.3559322033898305E-2</v>
      </c>
    </row>
    <row r="32" spans="1:44" x14ac:dyDescent="0.25">
      <c r="A32" s="2">
        <v>42442</v>
      </c>
      <c r="B32">
        <v>13</v>
      </c>
      <c r="C32" t="s">
        <v>26</v>
      </c>
      <c r="D32" s="1">
        <v>2016</v>
      </c>
      <c r="E32" s="1">
        <v>48</v>
      </c>
      <c r="F32" s="1" t="s">
        <v>27</v>
      </c>
      <c r="G32" s="1" t="s">
        <v>31</v>
      </c>
      <c r="H32" s="1" t="s">
        <v>21</v>
      </c>
      <c r="I32" s="1" t="s">
        <v>22</v>
      </c>
      <c r="J32" s="1" t="s">
        <v>23</v>
      </c>
      <c r="K32" s="1" t="s">
        <v>24</v>
      </c>
      <c r="L32" s="1" t="s">
        <v>25</v>
      </c>
      <c r="M32" s="1">
        <v>22</v>
      </c>
      <c r="N32" s="1">
        <v>45</v>
      </c>
      <c r="O32" s="1">
        <v>120</v>
      </c>
      <c r="P32" s="1">
        <v>1624</v>
      </c>
      <c r="Q32" s="1">
        <v>990</v>
      </c>
      <c r="R32" s="1">
        <v>2614</v>
      </c>
      <c r="S32">
        <f t="shared" si="0"/>
        <v>0.48888888888888887</v>
      </c>
      <c r="T32">
        <f t="shared" si="1"/>
        <v>1.3546798029556651E-2</v>
      </c>
      <c r="AK32" s="6" t="s">
        <v>84</v>
      </c>
      <c r="AL32" s="6">
        <f>AM23</f>
        <v>97.000000000000028</v>
      </c>
    </row>
    <row r="33" spans="1:38" x14ac:dyDescent="0.25">
      <c r="A33" s="2">
        <v>41782</v>
      </c>
      <c r="B33">
        <v>23</v>
      </c>
      <c r="C33" t="s">
        <v>30</v>
      </c>
      <c r="D33" s="1">
        <v>2014</v>
      </c>
      <c r="E33" s="1">
        <v>47</v>
      </c>
      <c r="F33" s="1" t="s">
        <v>27</v>
      </c>
      <c r="G33" s="1" t="s">
        <v>31</v>
      </c>
      <c r="H33" s="1" t="s">
        <v>21</v>
      </c>
      <c r="I33" s="1" t="s">
        <v>22</v>
      </c>
      <c r="J33" s="1" t="s">
        <v>23</v>
      </c>
      <c r="K33" s="1" t="s">
        <v>24</v>
      </c>
      <c r="L33" s="1" t="s">
        <v>25</v>
      </c>
      <c r="M33" s="1">
        <v>24</v>
      </c>
      <c r="N33" s="1">
        <v>45</v>
      </c>
      <c r="O33" s="1">
        <v>120</v>
      </c>
      <c r="P33" s="1">
        <v>1771</v>
      </c>
      <c r="Q33" s="1">
        <v>1080</v>
      </c>
      <c r="R33" s="1">
        <v>2851</v>
      </c>
      <c r="S33">
        <f t="shared" si="0"/>
        <v>0.53333333333333333</v>
      </c>
      <c r="T33">
        <f t="shared" si="1"/>
        <v>1.355166572557877E-2</v>
      </c>
      <c r="AK33" s="6"/>
      <c r="AL33" s="6"/>
    </row>
    <row r="34" spans="1:38" x14ac:dyDescent="0.25">
      <c r="A34" s="2">
        <v>42513</v>
      </c>
      <c r="B34">
        <v>23</v>
      </c>
      <c r="C34" t="s">
        <v>30</v>
      </c>
      <c r="D34" s="1">
        <v>2016</v>
      </c>
      <c r="E34" s="1">
        <v>47</v>
      </c>
      <c r="F34" s="1" t="s">
        <v>27</v>
      </c>
      <c r="G34" s="1" t="s">
        <v>31</v>
      </c>
      <c r="H34" s="1" t="s">
        <v>21</v>
      </c>
      <c r="I34" s="1" t="s">
        <v>22</v>
      </c>
      <c r="J34" s="1" t="s">
        <v>23</v>
      </c>
      <c r="K34" s="1" t="s">
        <v>24</v>
      </c>
      <c r="L34" s="1" t="s">
        <v>25</v>
      </c>
      <c r="M34" s="1">
        <v>23</v>
      </c>
      <c r="N34" s="1">
        <v>45</v>
      </c>
      <c r="O34" s="1">
        <v>120</v>
      </c>
      <c r="P34" s="1">
        <v>1697</v>
      </c>
      <c r="Q34" s="1">
        <v>1035</v>
      </c>
      <c r="R34" s="1">
        <v>2732</v>
      </c>
      <c r="S34">
        <f t="shared" si="0"/>
        <v>0.51111111111111107</v>
      </c>
      <c r="T34">
        <f t="shared" si="1"/>
        <v>1.3553329404832056E-2</v>
      </c>
      <c r="AK34" s="6"/>
      <c r="AL34" s="6"/>
    </row>
    <row r="35" spans="1:38" x14ac:dyDescent="0.25">
      <c r="A35" s="2">
        <v>41474</v>
      </c>
      <c r="B35">
        <v>19</v>
      </c>
      <c r="C35" t="s">
        <v>34</v>
      </c>
      <c r="D35" s="1">
        <v>2013</v>
      </c>
      <c r="E35" s="1">
        <v>32</v>
      </c>
      <c r="F35" s="1" t="s">
        <v>35</v>
      </c>
      <c r="G35" s="1" t="s">
        <v>31</v>
      </c>
      <c r="H35" s="1" t="s">
        <v>39</v>
      </c>
      <c r="I35" s="1" t="s">
        <v>40</v>
      </c>
      <c r="J35" s="1" t="s">
        <v>23</v>
      </c>
      <c r="K35" s="1" t="s">
        <v>24</v>
      </c>
      <c r="L35" s="1" t="s">
        <v>25</v>
      </c>
      <c r="M35" s="1">
        <v>9</v>
      </c>
      <c r="N35" s="1">
        <v>45</v>
      </c>
      <c r="O35" s="1">
        <v>120</v>
      </c>
      <c r="P35" s="1">
        <v>524</v>
      </c>
      <c r="Q35" s="1">
        <v>405</v>
      </c>
      <c r="R35" s="1">
        <v>929</v>
      </c>
      <c r="S35">
        <f t="shared" si="0"/>
        <v>0.2</v>
      </c>
      <c r="T35">
        <f t="shared" si="1"/>
        <v>1.717557251908397E-2</v>
      </c>
      <c r="AK35" s="6"/>
      <c r="AL35" s="6"/>
    </row>
    <row r="36" spans="1:38" x14ac:dyDescent="0.25">
      <c r="A36" s="2">
        <v>42204</v>
      </c>
      <c r="B36">
        <v>19</v>
      </c>
      <c r="C36" t="s">
        <v>34</v>
      </c>
      <c r="D36" s="1">
        <v>2015</v>
      </c>
      <c r="E36" s="1">
        <v>32</v>
      </c>
      <c r="F36" s="1" t="s">
        <v>35</v>
      </c>
      <c r="G36" s="1" t="s">
        <v>31</v>
      </c>
      <c r="H36" s="1" t="s">
        <v>39</v>
      </c>
      <c r="I36" s="1" t="s">
        <v>40</v>
      </c>
      <c r="J36" s="1" t="s">
        <v>71</v>
      </c>
      <c r="K36" s="1" t="s">
        <v>24</v>
      </c>
      <c r="L36" s="1" t="s">
        <v>25</v>
      </c>
      <c r="M36" s="1">
        <v>9</v>
      </c>
      <c r="N36" s="1">
        <v>45</v>
      </c>
      <c r="O36" s="1">
        <v>120</v>
      </c>
      <c r="P36" s="1">
        <v>524</v>
      </c>
      <c r="Q36" s="1">
        <v>405</v>
      </c>
      <c r="R36" s="1">
        <v>929</v>
      </c>
      <c r="S36">
        <f t="shared" si="0"/>
        <v>0.2</v>
      </c>
      <c r="T36">
        <f t="shared" si="1"/>
        <v>1.717557251908397E-2</v>
      </c>
      <c r="AK36" s="6"/>
      <c r="AL36" s="6"/>
    </row>
    <row r="37" spans="1:38" x14ac:dyDescent="0.25">
      <c r="A37" s="2">
        <v>41589</v>
      </c>
      <c r="B37">
        <v>11</v>
      </c>
      <c r="C37" t="s">
        <v>18</v>
      </c>
      <c r="D37" s="1">
        <v>2013</v>
      </c>
      <c r="E37" s="1">
        <v>34</v>
      </c>
      <c r="F37" s="1" t="s">
        <v>35</v>
      </c>
      <c r="G37" s="1" t="s">
        <v>20</v>
      </c>
      <c r="H37" s="1" t="s">
        <v>21</v>
      </c>
      <c r="I37" s="1" t="s">
        <v>22</v>
      </c>
      <c r="J37" s="1" t="s">
        <v>23</v>
      </c>
      <c r="K37" s="1" t="s">
        <v>72</v>
      </c>
      <c r="L37" s="1" t="s">
        <v>25</v>
      </c>
      <c r="M37" s="1">
        <v>25</v>
      </c>
      <c r="N37" s="1">
        <v>45</v>
      </c>
      <c r="O37" s="1">
        <v>120</v>
      </c>
      <c r="P37" s="1">
        <v>1845</v>
      </c>
      <c r="Q37" s="1">
        <v>1125</v>
      </c>
      <c r="R37" s="1">
        <v>2970</v>
      </c>
      <c r="S37">
        <f t="shared" si="0"/>
        <v>0.55555555555555558</v>
      </c>
      <c r="T37">
        <f t="shared" si="1"/>
        <v>1.3550135501355014E-2</v>
      </c>
      <c r="AK37" s="6"/>
      <c r="AL37" s="6"/>
    </row>
    <row r="38" spans="1:38" x14ac:dyDescent="0.25">
      <c r="A38" s="2">
        <v>42319</v>
      </c>
      <c r="B38">
        <v>11</v>
      </c>
      <c r="C38" t="s">
        <v>18</v>
      </c>
      <c r="D38" s="1">
        <v>2015</v>
      </c>
      <c r="E38" s="1">
        <v>34</v>
      </c>
      <c r="F38" s="1" t="s">
        <v>35</v>
      </c>
      <c r="G38" s="1" t="s">
        <v>20</v>
      </c>
      <c r="H38" s="1" t="s">
        <v>21</v>
      </c>
      <c r="I38" s="1" t="s">
        <v>22</v>
      </c>
      <c r="J38" s="1" t="s">
        <v>23</v>
      </c>
      <c r="K38" s="1" t="s">
        <v>24</v>
      </c>
      <c r="L38" s="1" t="s">
        <v>25</v>
      </c>
      <c r="M38" s="1">
        <v>23</v>
      </c>
      <c r="N38" s="1">
        <v>45</v>
      </c>
      <c r="O38" s="1">
        <v>120</v>
      </c>
      <c r="P38" s="1">
        <v>1697</v>
      </c>
      <c r="Q38" s="1">
        <v>1035</v>
      </c>
      <c r="R38" s="1">
        <v>2732</v>
      </c>
      <c r="S38">
        <f t="shared" si="0"/>
        <v>0.51111111111111107</v>
      </c>
      <c r="T38">
        <f t="shared" si="1"/>
        <v>1.3553329404832056E-2</v>
      </c>
    </row>
    <row r="39" spans="1:38" x14ac:dyDescent="0.25">
      <c r="A39" s="2">
        <v>41468</v>
      </c>
      <c r="B39">
        <v>13</v>
      </c>
      <c r="C39" t="s">
        <v>34</v>
      </c>
      <c r="D39" s="1">
        <v>2013</v>
      </c>
      <c r="E39" s="1">
        <v>43</v>
      </c>
      <c r="F39" s="1" t="s">
        <v>27</v>
      </c>
      <c r="G39" s="1" t="s">
        <v>31</v>
      </c>
      <c r="H39" s="1" t="s">
        <v>39</v>
      </c>
      <c r="I39" s="1" t="s">
        <v>42</v>
      </c>
      <c r="J39" s="1" t="s">
        <v>23</v>
      </c>
      <c r="K39" s="1" t="s">
        <v>24</v>
      </c>
      <c r="L39" s="1" t="s">
        <v>25</v>
      </c>
      <c r="M39" s="1">
        <v>10</v>
      </c>
      <c r="N39" s="1">
        <v>45</v>
      </c>
      <c r="O39" s="1">
        <v>120</v>
      </c>
      <c r="P39" s="1">
        <v>726</v>
      </c>
      <c r="Q39" s="1">
        <v>450</v>
      </c>
      <c r="R39" s="1">
        <v>1176</v>
      </c>
      <c r="S39">
        <f t="shared" si="0"/>
        <v>0.22222222222222221</v>
      </c>
      <c r="T39">
        <f t="shared" si="1"/>
        <v>1.3774104683195593E-2</v>
      </c>
    </row>
    <row r="40" spans="1:38" x14ac:dyDescent="0.25">
      <c r="A40" s="2">
        <v>42198</v>
      </c>
      <c r="B40">
        <v>13</v>
      </c>
      <c r="C40" t="s">
        <v>34</v>
      </c>
      <c r="D40" s="1">
        <v>2015</v>
      </c>
      <c r="E40" s="1">
        <v>43</v>
      </c>
      <c r="F40" s="1" t="s">
        <v>27</v>
      </c>
      <c r="G40" s="1" t="s">
        <v>31</v>
      </c>
      <c r="H40" s="1" t="s">
        <v>39</v>
      </c>
      <c r="I40" s="1" t="s">
        <v>42</v>
      </c>
      <c r="J40" s="1" t="s">
        <v>23</v>
      </c>
      <c r="K40" s="1" t="s">
        <v>24</v>
      </c>
      <c r="L40" s="1" t="s">
        <v>25</v>
      </c>
      <c r="M40" s="1">
        <v>10</v>
      </c>
      <c r="N40" s="1">
        <v>2</v>
      </c>
      <c r="O40" s="1">
        <v>120</v>
      </c>
      <c r="P40" s="1">
        <v>726</v>
      </c>
      <c r="Q40" s="1">
        <v>450</v>
      </c>
      <c r="R40" s="1">
        <v>1176</v>
      </c>
      <c r="S40">
        <f t="shared" si="0"/>
        <v>5</v>
      </c>
      <c r="T40">
        <f t="shared" si="1"/>
        <v>1.3774104683195593E-2</v>
      </c>
    </row>
    <row r="41" spans="1:38" x14ac:dyDescent="0.25">
      <c r="A41" s="2">
        <v>41729</v>
      </c>
      <c r="B41">
        <v>31</v>
      </c>
      <c r="C41" t="s">
        <v>26</v>
      </c>
      <c r="D41" s="1">
        <v>2014</v>
      </c>
      <c r="E41" s="1">
        <v>43</v>
      </c>
      <c r="F41" s="1" t="s">
        <v>27</v>
      </c>
      <c r="G41" s="1" t="s">
        <v>31</v>
      </c>
      <c r="H41" s="1" t="s">
        <v>39</v>
      </c>
      <c r="I41" s="1" t="s">
        <v>42</v>
      </c>
      <c r="J41" s="1" t="s">
        <v>23</v>
      </c>
      <c r="K41" s="1" t="s">
        <v>24</v>
      </c>
      <c r="L41" s="1" t="s">
        <v>25</v>
      </c>
      <c r="M41" s="1">
        <v>11</v>
      </c>
      <c r="N41" s="1">
        <v>0</v>
      </c>
      <c r="O41" s="1">
        <v>120</v>
      </c>
      <c r="P41" s="1">
        <v>799</v>
      </c>
      <c r="Q41" s="1">
        <v>495</v>
      </c>
      <c r="R41" s="1">
        <v>1294</v>
      </c>
      <c r="S41" t="e">
        <f t="shared" si="0"/>
        <v>#DIV/0!</v>
      </c>
      <c r="T41">
        <f t="shared" si="1"/>
        <v>1.3767209011264081E-2</v>
      </c>
    </row>
    <row r="42" spans="1:38" x14ac:dyDescent="0.25">
      <c r="A42" s="2">
        <v>42460</v>
      </c>
      <c r="B42">
        <v>31</v>
      </c>
      <c r="C42" t="s">
        <v>26</v>
      </c>
      <c r="D42" s="1">
        <v>2016</v>
      </c>
      <c r="E42" s="1">
        <v>43</v>
      </c>
      <c r="F42" s="1" t="s">
        <v>27</v>
      </c>
      <c r="G42" s="1" t="s">
        <v>31</v>
      </c>
      <c r="H42" s="1" t="s">
        <v>39</v>
      </c>
      <c r="I42" s="1" t="s">
        <v>42</v>
      </c>
      <c r="J42" s="1" t="s">
        <v>23</v>
      </c>
      <c r="K42" s="1" t="s">
        <v>24</v>
      </c>
      <c r="L42" s="1" t="s">
        <v>25</v>
      </c>
      <c r="M42" s="1">
        <v>11</v>
      </c>
      <c r="N42" s="1">
        <v>45</v>
      </c>
      <c r="O42" s="1">
        <v>120</v>
      </c>
      <c r="P42" s="1">
        <v>799</v>
      </c>
      <c r="Q42" s="1">
        <v>495</v>
      </c>
      <c r="R42" s="1">
        <v>1294</v>
      </c>
      <c r="S42">
        <f t="shared" si="0"/>
        <v>0.24444444444444444</v>
      </c>
      <c r="T42">
        <f t="shared" si="1"/>
        <v>1.3767209011264081E-2</v>
      </c>
    </row>
    <row r="43" spans="1:38" x14ac:dyDescent="0.25">
      <c r="A43" s="2">
        <v>41514</v>
      </c>
      <c r="B43">
        <v>28</v>
      </c>
      <c r="C43" t="s">
        <v>36</v>
      </c>
      <c r="D43" s="1">
        <v>2013</v>
      </c>
      <c r="E43" s="1">
        <v>61</v>
      </c>
      <c r="F43" s="1" t="s">
        <v>27</v>
      </c>
      <c r="G43" s="1" t="s">
        <v>20</v>
      </c>
      <c r="H43" s="1" t="s">
        <v>39</v>
      </c>
      <c r="I43" s="1" t="s">
        <v>42</v>
      </c>
      <c r="J43" s="1" t="s">
        <v>23</v>
      </c>
      <c r="K43" s="1" t="s">
        <v>24</v>
      </c>
      <c r="L43" s="1" t="s">
        <v>25</v>
      </c>
      <c r="M43" s="1">
        <v>8</v>
      </c>
      <c r="N43" s="1">
        <v>45</v>
      </c>
      <c r="O43" s="1">
        <v>120</v>
      </c>
      <c r="P43" s="1">
        <v>581</v>
      </c>
      <c r="Q43" s="1">
        <v>360</v>
      </c>
      <c r="R43" s="1">
        <v>941</v>
      </c>
      <c r="S43">
        <f t="shared" si="0"/>
        <v>0.17777777777777778</v>
      </c>
      <c r="T43">
        <f t="shared" si="1"/>
        <v>1.3769363166953529E-2</v>
      </c>
    </row>
    <row r="44" spans="1:38" x14ac:dyDescent="0.25">
      <c r="A44" s="2">
        <v>42244</v>
      </c>
      <c r="B44">
        <v>28</v>
      </c>
      <c r="C44" t="s">
        <v>36</v>
      </c>
      <c r="D44" s="1">
        <v>2015</v>
      </c>
      <c r="E44" s="1">
        <v>61</v>
      </c>
      <c r="F44" s="1" t="s">
        <v>27</v>
      </c>
      <c r="G44" s="1" t="s">
        <v>31</v>
      </c>
      <c r="H44" s="1" t="s">
        <v>39</v>
      </c>
      <c r="I44" s="1" t="s">
        <v>42</v>
      </c>
      <c r="J44" s="1" t="s">
        <v>23</v>
      </c>
      <c r="K44" s="1" t="s">
        <v>24</v>
      </c>
      <c r="L44" s="1" t="s">
        <v>25</v>
      </c>
      <c r="M44" s="1">
        <v>10</v>
      </c>
      <c r="N44" s="1">
        <v>45</v>
      </c>
      <c r="O44" s="1">
        <v>120</v>
      </c>
      <c r="P44" s="1">
        <v>726</v>
      </c>
      <c r="Q44" s="1">
        <v>450</v>
      </c>
      <c r="R44" s="1">
        <v>1176</v>
      </c>
      <c r="S44">
        <f t="shared" si="0"/>
        <v>0.22222222222222221</v>
      </c>
      <c r="T44">
        <f t="shared" si="1"/>
        <v>1.3774104683195593E-2</v>
      </c>
    </row>
    <row r="45" spans="1:38" x14ac:dyDescent="0.25">
      <c r="A45" s="2">
        <v>41513</v>
      </c>
      <c r="B45">
        <v>27</v>
      </c>
      <c r="C45" t="s">
        <v>36</v>
      </c>
      <c r="D45" s="1">
        <v>2013</v>
      </c>
      <c r="E45" s="1">
        <v>57</v>
      </c>
      <c r="F45" s="1" t="s">
        <v>27</v>
      </c>
      <c r="G45" s="1" t="s">
        <v>20</v>
      </c>
      <c r="H45" s="1" t="s">
        <v>21</v>
      </c>
      <c r="I45" s="1" t="s">
        <v>22</v>
      </c>
      <c r="J45" s="1" t="s">
        <v>23</v>
      </c>
      <c r="K45" s="1" t="s">
        <v>24</v>
      </c>
      <c r="L45" s="1" t="s">
        <v>25</v>
      </c>
      <c r="M45" s="1">
        <v>2</v>
      </c>
      <c r="N45" s="1">
        <v>45</v>
      </c>
      <c r="O45" s="1">
        <v>120</v>
      </c>
      <c r="P45" s="1">
        <v>148</v>
      </c>
      <c r="Q45" s="1">
        <v>90</v>
      </c>
      <c r="R45" s="1">
        <v>238</v>
      </c>
      <c r="S45">
        <f t="shared" si="0"/>
        <v>4.4444444444444446E-2</v>
      </c>
      <c r="T45">
        <f t="shared" si="1"/>
        <v>1.3513513513513514E-2</v>
      </c>
    </row>
    <row r="46" spans="1:38" x14ac:dyDescent="0.25">
      <c r="A46" s="2">
        <v>42243</v>
      </c>
      <c r="B46">
        <v>27</v>
      </c>
      <c r="C46" t="s">
        <v>36</v>
      </c>
      <c r="D46" s="1">
        <v>2015</v>
      </c>
      <c r="E46" s="1">
        <v>57</v>
      </c>
      <c r="F46" s="1" t="s">
        <v>27</v>
      </c>
      <c r="G46" s="1" t="s">
        <v>20</v>
      </c>
      <c r="H46" s="1" t="s">
        <v>21</v>
      </c>
      <c r="I46" s="1" t="s">
        <v>22</v>
      </c>
      <c r="J46" s="1" t="s">
        <v>23</v>
      </c>
      <c r="K46" s="1" t="s">
        <v>24</v>
      </c>
      <c r="L46" s="1" t="s">
        <v>25</v>
      </c>
      <c r="M46" s="1">
        <v>1</v>
      </c>
      <c r="N46" s="1">
        <v>45</v>
      </c>
      <c r="O46" s="1">
        <v>120</v>
      </c>
      <c r="P46" s="1">
        <v>74</v>
      </c>
      <c r="Q46" s="1">
        <v>45</v>
      </c>
      <c r="R46" s="1">
        <v>119</v>
      </c>
      <c r="S46">
        <f t="shared" si="0"/>
        <v>2.2222222222222223E-2</v>
      </c>
      <c r="T46">
        <f t="shared" si="1"/>
        <v>1.3513513513513514E-2</v>
      </c>
    </row>
    <row r="47" spans="1:38" x14ac:dyDescent="0.25">
      <c r="A47" s="2">
        <v>41595</v>
      </c>
      <c r="B47">
        <v>17</v>
      </c>
      <c r="C47" t="s">
        <v>18</v>
      </c>
      <c r="D47" s="1">
        <v>2013</v>
      </c>
      <c r="E47" s="1">
        <v>29</v>
      </c>
      <c r="F47" s="1" t="s">
        <v>35</v>
      </c>
      <c r="G47" s="1" t="s">
        <v>31</v>
      </c>
      <c r="H47" s="1" t="s">
        <v>21</v>
      </c>
      <c r="I47" s="1" t="s">
        <v>22</v>
      </c>
      <c r="J47" s="1" t="s">
        <v>23</v>
      </c>
      <c r="K47" s="1" t="s">
        <v>24</v>
      </c>
      <c r="L47" s="1" t="s">
        <v>25</v>
      </c>
      <c r="M47" s="1">
        <v>12</v>
      </c>
      <c r="N47" s="1">
        <v>45</v>
      </c>
      <c r="O47" s="1">
        <v>120</v>
      </c>
      <c r="P47" s="1">
        <v>886</v>
      </c>
      <c r="Q47" s="1">
        <v>540</v>
      </c>
      <c r="R47" s="1">
        <v>1426</v>
      </c>
      <c r="S47">
        <f t="shared" si="0"/>
        <v>0.26666666666666666</v>
      </c>
      <c r="T47">
        <f t="shared" si="1"/>
        <v>1.3544018058690745E-2</v>
      </c>
    </row>
    <row r="48" spans="1:38" x14ac:dyDescent="0.25">
      <c r="A48" s="2">
        <v>42325</v>
      </c>
      <c r="B48">
        <v>17</v>
      </c>
      <c r="C48" t="s">
        <v>18</v>
      </c>
      <c r="D48" s="1">
        <v>2015</v>
      </c>
      <c r="E48" s="1">
        <v>29</v>
      </c>
      <c r="F48" s="1" t="s">
        <v>35</v>
      </c>
      <c r="G48" s="1" t="s">
        <v>31</v>
      </c>
      <c r="H48" s="1" t="s">
        <v>21</v>
      </c>
      <c r="I48" s="1" t="s">
        <v>22</v>
      </c>
      <c r="J48" s="1" t="s">
        <v>23</v>
      </c>
      <c r="K48" s="1" t="s">
        <v>24</v>
      </c>
      <c r="L48" s="1" t="s">
        <v>25</v>
      </c>
      <c r="M48" s="1">
        <v>14</v>
      </c>
      <c r="N48" s="1">
        <v>45</v>
      </c>
      <c r="O48" s="1">
        <v>120</v>
      </c>
      <c r="P48" s="1">
        <v>1033</v>
      </c>
      <c r="Q48" s="1">
        <v>630</v>
      </c>
      <c r="R48" s="1">
        <v>1663</v>
      </c>
      <c r="S48">
        <f t="shared" si="0"/>
        <v>0.31111111111111112</v>
      </c>
      <c r="T48">
        <f t="shared" si="1"/>
        <v>1.3552758954501452E-2</v>
      </c>
    </row>
    <row r="49" spans="1:20" x14ac:dyDescent="0.25">
      <c r="A49" s="2">
        <v>41493</v>
      </c>
      <c r="B49">
        <v>7</v>
      </c>
      <c r="C49" t="s">
        <v>36</v>
      </c>
      <c r="D49" s="1">
        <v>2013</v>
      </c>
      <c r="E49" s="1">
        <v>38</v>
      </c>
      <c r="F49" s="1" t="s">
        <v>27</v>
      </c>
      <c r="G49" s="1" t="s">
        <v>20</v>
      </c>
      <c r="H49" s="1" t="s">
        <v>43</v>
      </c>
      <c r="I49" s="1" t="s">
        <v>44</v>
      </c>
      <c r="J49" s="1" t="s">
        <v>23</v>
      </c>
      <c r="K49" s="1" t="s">
        <v>24</v>
      </c>
      <c r="L49" s="1" t="s">
        <v>25</v>
      </c>
      <c r="M49" s="1">
        <v>3</v>
      </c>
      <c r="N49" s="1">
        <v>45</v>
      </c>
      <c r="O49" s="1">
        <v>120</v>
      </c>
      <c r="P49" s="1">
        <v>160</v>
      </c>
      <c r="Q49" s="1">
        <v>135</v>
      </c>
      <c r="R49" s="1">
        <v>295</v>
      </c>
      <c r="S49">
        <f t="shared" si="0"/>
        <v>6.6666666666666666E-2</v>
      </c>
      <c r="T49">
        <f t="shared" si="1"/>
        <v>1.8749999999999999E-2</v>
      </c>
    </row>
    <row r="50" spans="1:20" x14ac:dyDescent="0.25">
      <c r="A50" s="2">
        <v>42223</v>
      </c>
      <c r="B50">
        <v>7</v>
      </c>
      <c r="C50" t="s">
        <v>36</v>
      </c>
      <c r="D50" s="1">
        <v>2015</v>
      </c>
      <c r="E50" s="1">
        <v>38</v>
      </c>
      <c r="F50" s="1" t="s">
        <v>27</v>
      </c>
      <c r="G50" s="1" t="s">
        <v>20</v>
      </c>
      <c r="H50" s="1" t="s">
        <v>43</v>
      </c>
      <c r="I50" s="1" t="s">
        <v>44</v>
      </c>
      <c r="J50" s="1" t="s">
        <v>23</v>
      </c>
      <c r="K50" s="1" t="s">
        <v>24</v>
      </c>
      <c r="L50" s="1" t="s">
        <v>25</v>
      </c>
      <c r="M50" s="1">
        <v>1</v>
      </c>
      <c r="N50" s="1">
        <v>45</v>
      </c>
      <c r="O50" s="1">
        <v>120</v>
      </c>
      <c r="P50" s="1">
        <v>53</v>
      </c>
      <c r="Q50" s="1">
        <v>45</v>
      </c>
      <c r="R50" s="1">
        <v>98</v>
      </c>
      <c r="S50">
        <f t="shared" si="0"/>
        <v>2.2222222222222223E-2</v>
      </c>
      <c r="T50">
        <f t="shared" si="1"/>
        <v>1.8867924528301886E-2</v>
      </c>
    </row>
    <row r="51" spans="1:20" x14ac:dyDescent="0.25">
      <c r="A51" s="2">
        <v>41470</v>
      </c>
      <c r="B51">
        <v>15</v>
      </c>
      <c r="C51" t="s">
        <v>34</v>
      </c>
      <c r="D51" s="1">
        <v>2013</v>
      </c>
      <c r="E51" s="1">
        <v>52</v>
      </c>
      <c r="F51" s="1" t="s">
        <v>27</v>
      </c>
      <c r="G51" s="1" t="s">
        <v>31</v>
      </c>
      <c r="H51" s="1" t="s">
        <v>45</v>
      </c>
      <c r="I51" s="1" t="s">
        <v>46</v>
      </c>
      <c r="J51" s="1" t="s">
        <v>23</v>
      </c>
      <c r="K51" s="1" t="s">
        <v>24</v>
      </c>
      <c r="L51" s="1" t="s">
        <v>25</v>
      </c>
      <c r="M51" s="1">
        <v>8</v>
      </c>
      <c r="N51" s="1">
        <v>45</v>
      </c>
      <c r="O51" s="1">
        <v>120</v>
      </c>
      <c r="P51" s="1">
        <v>427</v>
      </c>
      <c r="Q51" s="1">
        <v>360</v>
      </c>
      <c r="R51" s="1">
        <v>787</v>
      </c>
      <c r="S51">
        <f t="shared" si="0"/>
        <v>0.17777777777777778</v>
      </c>
      <c r="T51">
        <f t="shared" si="1"/>
        <v>1.873536299765808E-2</v>
      </c>
    </row>
    <row r="52" spans="1:20" x14ac:dyDescent="0.25">
      <c r="A52" s="2">
        <v>42200</v>
      </c>
      <c r="B52">
        <v>15</v>
      </c>
      <c r="C52" t="s">
        <v>34</v>
      </c>
      <c r="D52" s="1">
        <v>2015</v>
      </c>
      <c r="E52" s="1">
        <v>52</v>
      </c>
      <c r="F52" s="1" t="s">
        <v>27</v>
      </c>
      <c r="G52" s="1" t="s">
        <v>31</v>
      </c>
      <c r="H52" s="1" t="s">
        <v>45</v>
      </c>
      <c r="I52" s="1" t="s">
        <v>46</v>
      </c>
      <c r="J52" s="1" t="s">
        <v>23</v>
      </c>
      <c r="K52" s="1" t="s">
        <v>24</v>
      </c>
      <c r="L52" s="1" t="s">
        <v>25</v>
      </c>
      <c r="M52" s="1">
        <v>8</v>
      </c>
      <c r="N52" s="1">
        <v>45</v>
      </c>
      <c r="O52" s="1">
        <v>120</v>
      </c>
      <c r="P52" s="1">
        <v>427</v>
      </c>
      <c r="Q52" s="1">
        <v>360</v>
      </c>
      <c r="R52" s="1">
        <v>787</v>
      </c>
      <c r="S52">
        <f t="shared" si="0"/>
        <v>0.17777777777777778</v>
      </c>
      <c r="T52">
        <f t="shared" si="1"/>
        <v>1.873536299765808E-2</v>
      </c>
    </row>
    <row r="53" spans="1:20" x14ac:dyDescent="0.25">
      <c r="A53" s="2">
        <v>41503</v>
      </c>
      <c r="B53">
        <v>17</v>
      </c>
      <c r="C53" t="s">
        <v>36</v>
      </c>
      <c r="D53" s="1">
        <v>2013</v>
      </c>
      <c r="E53" s="1">
        <v>43</v>
      </c>
      <c r="F53" s="1" t="s">
        <v>27</v>
      </c>
      <c r="G53" s="1" t="s">
        <v>31</v>
      </c>
      <c r="H53" s="1" t="s">
        <v>45</v>
      </c>
      <c r="I53" s="1" t="s">
        <v>47</v>
      </c>
      <c r="J53" s="1" t="s">
        <v>23</v>
      </c>
      <c r="K53" s="1" t="s">
        <v>24</v>
      </c>
      <c r="L53" s="1" t="s">
        <v>25</v>
      </c>
      <c r="M53" s="1">
        <v>28</v>
      </c>
      <c r="N53" s="1">
        <v>45</v>
      </c>
      <c r="O53" s="1">
        <v>120</v>
      </c>
      <c r="P53" s="1">
        <v>1697</v>
      </c>
      <c r="Q53" s="1">
        <v>1260</v>
      </c>
      <c r="R53" s="1">
        <v>2957</v>
      </c>
      <c r="S53">
        <f t="shared" si="0"/>
        <v>0.62222222222222223</v>
      </c>
      <c r="T53">
        <f t="shared" si="1"/>
        <v>1.6499705362404242E-2</v>
      </c>
    </row>
    <row r="54" spans="1:20" x14ac:dyDescent="0.25">
      <c r="A54" s="2">
        <v>42233</v>
      </c>
      <c r="B54">
        <v>17</v>
      </c>
      <c r="C54" t="s">
        <v>36</v>
      </c>
      <c r="D54" s="1">
        <v>2015</v>
      </c>
      <c r="E54" s="1">
        <v>43</v>
      </c>
      <c r="F54" s="1" t="s">
        <v>27</v>
      </c>
      <c r="G54" s="1" t="s">
        <v>31</v>
      </c>
      <c r="H54" s="1" t="s">
        <v>45</v>
      </c>
      <c r="I54" s="1" t="s">
        <v>47</v>
      </c>
      <c r="J54" s="1" t="s">
        <v>23</v>
      </c>
      <c r="K54" s="1" t="s">
        <v>24</v>
      </c>
      <c r="L54" s="1" t="s">
        <v>25</v>
      </c>
      <c r="M54" s="1">
        <v>27</v>
      </c>
      <c r="N54" s="1">
        <v>45</v>
      </c>
      <c r="O54" s="1">
        <v>120</v>
      </c>
      <c r="P54" s="1">
        <v>1636</v>
      </c>
      <c r="Q54" s="1">
        <v>1215</v>
      </c>
      <c r="R54" s="1">
        <v>2851</v>
      </c>
      <c r="S54">
        <f t="shared" si="0"/>
        <v>0.6</v>
      </c>
      <c r="T54">
        <f t="shared" si="1"/>
        <v>1.6503667481662591E-2</v>
      </c>
    </row>
    <row r="55" spans="1:20" x14ac:dyDescent="0.25">
      <c r="A55" s="2">
        <v>41472</v>
      </c>
      <c r="B55">
        <v>17</v>
      </c>
      <c r="C55" t="s">
        <v>34</v>
      </c>
      <c r="D55" s="1">
        <v>2013</v>
      </c>
      <c r="E55" s="1">
        <v>24</v>
      </c>
      <c r="F55" s="1" t="s">
        <v>19</v>
      </c>
      <c r="G55" s="1" t="s">
        <v>31</v>
      </c>
      <c r="H55" s="1" t="s">
        <v>28</v>
      </c>
      <c r="I55" s="1" t="s">
        <v>48</v>
      </c>
      <c r="J55" s="1" t="s">
        <v>23</v>
      </c>
      <c r="K55" s="1" t="s">
        <v>24</v>
      </c>
      <c r="L55" s="1" t="s">
        <v>25</v>
      </c>
      <c r="M55" s="1">
        <v>9</v>
      </c>
      <c r="N55" s="1">
        <v>45</v>
      </c>
      <c r="O55" s="1">
        <v>120</v>
      </c>
      <c r="P55" s="1">
        <v>502</v>
      </c>
      <c r="Q55" s="1">
        <v>405</v>
      </c>
      <c r="R55" s="1">
        <v>907</v>
      </c>
      <c r="S55">
        <f t="shared" si="0"/>
        <v>0.2</v>
      </c>
      <c r="T55">
        <f t="shared" si="1"/>
        <v>1.7928286852589643E-2</v>
      </c>
    </row>
    <row r="56" spans="1:20" x14ac:dyDescent="0.25">
      <c r="A56" s="2">
        <v>42202</v>
      </c>
      <c r="B56">
        <v>17</v>
      </c>
      <c r="C56" t="s">
        <v>34</v>
      </c>
      <c r="D56" s="1">
        <v>2015</v>
      </c>
      <c r="E56" s="1">
        <v>24</v>
      </c>
      <c r="F56" s="1" t="s">
        <v>19</v>
      </c>
      <c r="G56" s="1" t="s">
        <v>31</v>
      </c>
      <c r="H56" s="1" t="s">
        <v>28</v>
      </c>
      <c r="I56" s="1" t="s">
        <v>48</v>
      </c>
      <c r="J56" s="1" t="s">
        <v>23</v>
      </c>
      <c r="K56" s="1" t="s">
        <v>24</v>
      </c>
      <c r="L56" s="1" t="s">
        <v>25</v>
      </c>
      <c r="M56" s="1">
        <v>6</v>
      </c>
      <c r="N56" s="1">
        <v>45</v>
      </c>
      <c r="O56" s="1">
        <v>120</v>
      </c>
      <c r="P56" s="1">
        <v>335</v>
      </c>
      <c r="Q56" s="1">
        <v>270</v>
      </c>
      <c r="R56" s="1">
        <v>605</v>
      </c>
      <c r="S56">
        <f t="shared" si="0"/>
        <v>0.13333333333333333</v>
      </c>
      <c r="T56">
        <f t="shared" si="1"/>
        <v>1.7910447761194031E-2</v>
      </c>
    </row>
    <row r="57" spans="1:20" x14ac:dyDescent="0.25">
      <c r="A57" s="2">
        <v>41639</v>
      </c>
      <c r="B57">
        <v>31</v>
      </c>
      <c r="C57" t="s">
        <v>41</v>
      </c>
      <c r="D57" s="1">
        <v>2013</v>
      </c>
      <c r="E57" s="1">
        <v>23</v>
      </c>
      <c r="F57" s="1" t="s">
        <v>19</v>
      </c>
      <c r="G57" s="1" t="s">
        <v>20</v>
      </c>
      <c r="H57" s="1" t="s">
        <v>39</v>
      </c>
      <c r="I57" s="1" t="s">
        <v>42</v>
      </c>
      <c r="J57" s="1" t="s">
        <v>23</v>
      </c>
      <c r="K57" s="1" t="s">
        <v>24</v>
      </c>
      <c r="L57" s="1" t="s">
        <v>25</v>
      </c>
      <c r="M57" s="1">
        <v>6</v>
      </c>
      <c r="N57" s="1">
        <v>45</v>
      </c>
      <c r="O57" s="1">
        <v>120</v>
      </c>
      <c r="P57" s="1">
        <v>436</v>
      </c>
      <c r="Q57" s="1">
        <v>270</v>
      </c>
      <c r="R57" s="1">
        <v>706</v>
      </c>
      <c r="S57">
        <f t="shared" si="0"/>
        <v>0.13333333333333333</v>
      </c>
      <c r="T57">
        <f t="shared" si="1"/>
        <v>1.3761467889908258E-2</v>
      </c>
    </row>
    <row r="58" spans="1:20" x14ac:dyDescent="0.25">
      <c r="A58" s="2">
        <v>42369</v>
      </c>
      <c r="B58">
        <v>31</v>
      </c>
      <c r="C58" t="s">
        <v>41</v>
      </c>
      <c r="D58" s="1">
        <v>2015</v>
      </c>
      <c r="E58" s="1">
        <v>23</v>
      </c>
      <c r="F58" s="1" t="s">
        <v>19</v>
      </c>
      <c r="G58" s="1" t="s">
        <v>20</v>
      </c>
      <c r="H58" s="1" t="s">
        <v>39</v>
      </c>
      <c r="I58" s="1" t="s">
        <v>42</v>
      </c>
      <c r="J58" s="1" t="s">
        <v>23</v>
      </c>
      <c r="K58" s="1" t="s">
        <v>24</v>
      </c>
      <c r="L58" s="1" t="s">
        <v>25</v>
      </c>
      <c r="M58" s="1">
        <v>7</v>
      </c>
      <c r="N58" s="1">
        <v>45</v>
      </c>
      <c r="O58" s="1">
        <v>120</v>
      </c>
      <c r="P58" s="1">
        <v>508</v>
      </c>
      <c r="Q58" s="1">
        <v>315</v>
      </c>
      <c r="R58" s="1">
        <v>823</v>
      </c>
      <c r="S58">
        <f t="shared" si="0"/>
        <v>0.15555555555555556</v>
      </c>
      <c r="T58">
        <f t="shared" si="1"/>
        <v>1.3779527559055118E-2</v>
      </c>
    </row>
    <row r="59" spans="1:20" x14ac:dyDescent="0.25">
      <c r="A59" s="2">
        <v>41534</v>
      </c>
      <c r="B59">
        <v>17</v>
      </c>
      <c r="C59" t="s">
        <v>37</v>
      </c>
      <c r="D59" s="1">
        <v>2013</v>
      </c>
      <c r="E59" s="1">
        <v>29</v>
      </c>
      <c r="F59" s="1" t="s">
        <v>35</v>
      </c>
      <c r="G59" s="1" t="s">
        <v>31</v>
      </c>
      <c r="H59" s="1" t="s">
        <v>49</v>
      </c>
      <c r="I59" s="1" t="s">
        <v>50</v>
      </c>
      <c r="J59" s="1" t="s">
        <v>23</v>
      </c>
      <c r="K59" s="1" t="s">
        <v>24</v>
      </c>
      <c r="L59" s="1" t="s">
        <v>25</v>
      </c>
      <c r="M59" s="1">
        <v>15</v>
      </c>
      <c r="N59" s="1">
        <v>45</v>
      </c>
      <c r="O59" s="1">
        <v>120</v>
      </c>
      <c r="P59" s="1">
        <v>1053</v>
      </c>
      <c r="Q59" s="1">
        <v>675</v>
      </c>
      <c r="R59" s="1">
        <v>1728</v>
      </c>
      <c r="S59">
        <f t="shared" si="0"/>
        <v>0.33333333333333331</v>
      </c>
      <c r="T59">
        <f t="shared" si="1"/>
        <v>1.4245014245014245E-2</v>
      </c>
    </row>
    <row r="60" spans="1:20" x14ac:dyDescent="0.25">
      <c r="A60" s="2">
        <v>42264</v>
      </c>
      <c r="B60">
        <v>17</v>
      </c>
      <c r="C60" t="s">
        <v>37</v>
      </c>
      <c r="D60" s="1">
        <v>2015</v>
      </c>
      <c r="E60" s="1">
        <v>29</v>
      </c>
      <c r="F60" s="1" t="s">
        <v>35</v>
      </c>
      <c r="G60" s="1" t="s">
        <v>31</v>
      </c>
      <c r="H60" s="1" t="s">
        <v>49</v>
      </c>
      <c r="I60" s="1" t="s">
        <v>50</v>
      </c>
      <c r="J60" s="1" t="s">
        <v>23</v>
      </c>
      <c r="K60" s="1" t="s">
        <v>24</v>
      </c>
      <c r="L60" s="1" t="s">
        <v>25</v>
      </c>
      <c r="M60" s="1">
        <v>15</v>
      </c>
      <c r="N60" s="1">
        <v>45</v>
      </c>
      <c r="O60" s="1">
        <v>120</v>
      </c>
      <c r="P60" s="1">
        <v>1053</v>
      </c>
      <c r="Q60" s="1">
        <v>675</v>
      </c>
      <c r="R60" s="1">
        <v>1728</v>
      </c>
      <c r="S60">
        <f t="shared" si="0"/>
        <v>0.33333333333333331</v>
      </c>
      <c r="T60">
        <f t="shared" si="1"/>
        <v>1.4245014245014245E-2</v>
      </c>
    </row>
    <row r="61" spans="1:20" x14ac:dyDescent="0.25">
      <c r="A61" s="2">
        <v>41541</v>
      </c>
      <c r="B61">
        <v>24</v>
      </c>
      <c r="C61" t="s">
        <v>37</v>
      </c>
      <c r="D61" s="1">
        <v>2013</v>
      </c>
      <c r="E61" s="1">
        <v>32</v>
      </c>
      <c r="F61" s="1" t="s">
        <v>35</v>
      </c>
      <c r="G61" s="1" t="s">
        <v>20</v>
      </c>
      <c r="H61" s="1" t="s">
        <v>45</v>
      </c>
      <c r="I61" s="1" t="s">
        <v>51</v>
      </c>
      <c r="J61" s="1" t="s">
        <v>23</v>
      </c>
      <c r="K61" s="1" t="s">
        <v>24</v>
      </c>
      <c r="L61" s="1" t="s">
        <v>25</v>
      </c>
      <c r="M61" s="1">
        <v>6</v>
      </c>
      <c r="N61" s="1">
        <v>45</v>
      </c>
      <c r="O61" s="1">
        <v>120</v>
      </c>
      <c r="P61" s="1">
        <v>356</v>
      </c>
      <c r="Q61" s="1">
        <v>270</v>
      </c>
      <c r="R61" s="1">
        <v>626</v>
      </c>
      <c r="S61">
        <f t="shared" si="0"/>
        <v>0.13333333333333333</v>
      </c>
      <c r="T61">
        <f t="shared" si="1"/>
        <v>1.6853932584269662E-2</v>
      </c>
    </row>
    <row r="62" spans="1:20" x14ac:dyDescent="0.25">
      <c r="A62" s="2">
        <v>42271</v>
      </c>
      <c r="B62">
        <v>24</v>
      </c>
      <c r="C62" t="s">
        <v>37</v>
      </c>
      <c r="D62" s="1">
        <v>2015</v>
      </c>
      <c r="E62" s="1">
        <v>32</v>
      </c>
      <c r="F62" s="1" t="s">
        <v>35</v>
      </c>
      <c r="G62" s="1" t="s">
        <v>20</v>
      </c>
      <c r="H62" s="1" t="s">
        <v>45</v>
      </c>
      <c r="I62" s="1" t="s">
        <v>51</v>
      </c>
      <c r="J62" s="1" t="s">
        <v>23</v>
      </c>
      <c r="K62" s="1" t="s">
        <v>24</v>
      </c>
      <c r="L62" s="1" t="s">
        <v>25</v>
      </c>
      <c r="M62" s="1">
        <v>3</v>
      </c>
      <c r="N62" s="1">
        <v>45</v>
      </c>
      <c r="O62" s="1">
        <v>120</v>
      </c>
      <c r="P62" s="1">
        <v>178</v>
      </c>
      <c r="Q62" s="1">
        <v>135</v>
      </c>
      <c r="R62" s="1">
        <v>313</v>
      </c>
      <c r="S62">
        <f t="shared" si="0"/>
        <v>6.6666666666666666E-2</v>
      </c>
      <c r="T62">
        <f t="shared" si="1"/>
        <v>1.6853932584269662E-2</v>
      </c>
    </row>
    <row r="63" spans="1:20" x14ac:dyDescent="0.25">
      <c r="A63" s="2">
        <v>41542</v>
      </c>
      <c r="B63">
        <v>25</v>
      </c>
      <c r="C63" t="s">
        <v>37</v>
      </c>
      <c r="D63" s="1">
        <v>2013</v>
      </c>
      <c r="E63" s="1">
        <v>19</v>
      </c>
      <c r="F63" s="1" t="s">
        <v>19</v>
      </c>
      <c r="G63" s="1" t="s">
        <v>31</v>
      </c>
      <c r="H63" s="1" t="s">
        <v>43</v>
      </c>
      <c r="I63" s="1" t="s">
        <v>44</v>
      </c>
      <c r="J63" s="1" t="s">
        <v>23</v>
      </c>
      <c r="K63" s="1" t="s">
        <v>24</v>
      </c>
      <c r="L63" s="1" t="s">
        <v>25</v>
      </c>
      <c r="M63" s="1">
        <v>6</v>
      </c>
      <c r="N63" s="1">
        <v>45</v>
      </c>
      <c r="O63" s="1">
        <v>120</v>
      </c>
      <c r="P63" s="1">
        <v>320</v>
      </c>
      <c r="Q63" s="1">
        <v>270</v>
      </c>
      <c r="R63" s="1">
        <v>590</v>
      </c>
      <c r="S63">
        <f t="shared" si="0"/>
        <v>0.13333333333333333</v>
      </c>
      <c r="T63">
        <f t="shared" si="1"/>
        <v>1.8749999999999999E-2</v>
      </c>
    </row>
    <row r="64" spans="1:20" x14ac:dyDescent="0.25">
      <c r="A64" s="2">
        <v>42272</v>
      </c>
      <c r="B64">
        <v>25</v>
      </c>
      <c r="C64" t="s">
        <v>37</v>
      </c>
      <c r="D64" s="1">
        <v>2015</v>
      </c>
      <c r="E64" s="1">
        <v>19</v>
      </c>
      <c r="F64" s="1" t="s">
        <v>19</v>
      </c>
      <c r="G64" s="1" t="s">
        <v>31</v>
      </c>
      <c r="H64" s="1" t="s">
        <v>43</v>
      </c>
      <c r="I64" s="1" t="s">
        <v>44</v>
      </c>
      <c r="J64" s="1" t="s">
        <v>23</v>
      </c>
      <c r="K64" s="1" t="s">
        <v>24</v>
      </c>
      <c r="L64" s="1" t="s">
        <v>25</v>
      </c>
      <c r="M64" s="1">
        <v>8</v>
      </c>
      <c r="N64" s="1">
        <v>45</v>
      </c>
      <c r="O64" s="1">
        <v>120</v>
      </c>
      <c r="P64" s="1">
        <v>427</v>
      </c>
      <c r="Q64" s="1">
        <v>360</v>
      </c>
      <c r="R64" s="1">
        <v>787</v>
      </c>
      <c r="S64">
        <f t="shared" si="0"/>
        <v>0.17777777777777778</v>
      </c>
      <c r="T64">
        <f t="shared" si="1"/>
        <v>1.873536299765808E-2</v>
      </c>
    </row>
    <row r="65" spans="1:20" x14ac:dyDescent="0.25">
      <c r="A65" s="2">
        <v>41604</v>
      </c>
      <c r="B65">
        <v>26</v>
      </c>
      <c r="C65" t="s">
        <v>18</v>
      </c>
      <c r="D65" s="1">
        <v>2013</v>
      </c>
      <c r="E65" s="1">
        <v>26</v>
      </c>
      <c r="F65" s="1" t="s">
        <v>35</v>
      </c>
      <c r="G65" s="1" t="s">
        <v>31</v>
      </c>
      <c r="H65" s="1" t="s">
        <v>21</v>
      </c>
      <c r="I65" s="1" t="s">
        <v>22</v>
      </c>
      <c r="J65" s="1" t="s">
        <v>23</v>
      </c>
      <c r="K65" s="1" t="s">
        <v>24</v>
      </c>
      <c r="L65" s="1" t="s">
        <v>25</v>
      </c>
      <c r="M65" s="1">
        <v>7</v>
      </c>
      <c r="N65" s="1">
        <v>45</v>
      </c>
      <c r="O65" s="1">
        <v>120</v>
      </c>
      <c r="P65" s="1">
        <v>517</v>
      </c>
      <c r="Q65" s="1">
        <v>315</v>
      </c>
      <c r="R65" s="1">
        <v>832</v>
      </c>
      <c r="S65">
        <f t="shared" si="0"/>
        <v>0.15555555555555556</v>
      </c>
      <c r="T65">
        <f t="shared" si="1"/>
        <v>1.3539651837524178E-2</v>
      </c>
    </row>
    <row r="66" spans="1:20" x14ac:dyDescent="0.25">
      <c r="A66" s="2">
        <v>42334</v>
      </c>
      <c r="B66">
        <v>26</v>
      </c>
      <c r="C66" t="s">
        <v>18</v>
      </c>
      <c r="D66" s="1">
        <v>2015</v>
      </c>
      <c r="E66" s="1">
        <v>26</v>
      </c>
      <c r="F66" s="1" t="s">
        <v>35</v>
      </c>
      <c r="G66" s="1" t="s">
        <v>31</v>
      </c>
      <c r="H66" s="1" t="s">
        <v>21</v>
      </c>
      <c r="I66" s="1" t="s">
        <v>22</v>
      </c>
      <c r="J66" s="1" t="s">
        <v>23</v>
      </c>
      <c r="K66" s="1" t="s">
        <v>24</v>
      </c>
      <c r="L66" s="1" t="s">
        <v>25</v>
      </c>
      <c r="M66" s="1">
        <v>8</v>
      </c>
      <c r="N66" s="1">
        <v>45</v>
      </c>
      <c r="O66" s="1">
        <v>120</v>
      </c>
      <c r="P66" s="1">
        <v>590</v>
      </c>
      <c r="Q66" s="1">
        <v>360</v>
      </c>
      <c r="R66" s="1">
        <v>950</v>
      </c>
      <c r="S66">
        <f t="shared" ref="S66:S129" si="2">M66/N66</f>
        <v>0.17777777777777778</v>
      </c>
      <c r="T66">
        <f t="shared" ref="T66:T68" si="3">M66/P66</f>
        <v>1.3559322033898305E-2</v>
      </c>
    </row>
    <row r="67" spans="1:20" x14ac:dyDescent="0.25">
      <c r="A67" s="2">
        <v>41489</v>
      </c>
      <c r="B67">
        <v>3</v>
      </c>
      <c r="C67" t="s">
        <v>36</v>
      </c>
      <c r="D67" s="1">
        <v>2013</v>
      </c>
      <c r="E67" s="1">
        <v>35</v>
      </c>
      <c r="F67" s="1" t="s">
        <v>27</v>
      </c>
      <c r="G67" s="1" t="s">
        <v>20</v>
      </c>
      <c r="H67" s="1" t="s">
        <v>21</v>
      </c>
      <c r="I67" s="1" t="s">
        <v>22</v>
      </c>
      <c r="J67" s="1" t="s">
        <v>23</v>
      </c>
      <c r="K67" s="1" t="s">
        <v>24</v>
      </c>
      <c r="L67" s="1" t="s">
        <v>25</v>
      </c>
      <c r="M67" s="1">
        <v>1</v>
      </c>
      <c r="N67" s="1">
        <v>45</v>
      </c>
      <c r="O67" s="1">
        <v>120</v>
      </c>
      <c r="P67" s="1">
        <v>74</v>
      </c>
      <c r="Q67" s="1">
        <v>45</v>
      </c>
      <c r="R67" s="1">
        <v>119</v>
      </c>
      <c r="S67">
        <f t="shared" si="2"/>
        <v>2.2222222222222223E-2</v>
      </c>
      <c r="T67">
        <f t="shared" si="3"/>
        <v>1.3513513513513514E-2</v>
      </c>
    </row>
    <row r="68" spans="1:20" x14ac:dyDescent="0.25">
      <c r="A68" s="2">
        <v>42219</v>
      </c>
      <c r="B68">
        <v>3</v>
      </c>
      <c r="C68" t="s">
        <v>36</v>
      </c>
      <c r="D68" s="1">
        <v>2015</v>
      </c>
      <c r="E68" s="1">
        <v>35</v>
      </c>
      <c r="F68" s="1" t="s">
        <v>27</v>
      </c>
      <c r="G68" s="1" t="s">
        <v>20</v>
      </c>
      <c r="H68" s="1" t="s">
        <v>21</v>
      </c>
      <c r="I68" s="1" t="s">
        <v>22</v>
      </c>
      <c r="J68" s="1" t="s">
        <v>23</v>
      </c>
      <c r="K68" s="1" t="s">
        <v>24</v>
      </c>
      <c r="L68" s="1" t="s">
        <v>25</v>
      </c>
      <c r="M68" s="1">
        <v>1</v>
      </c>
      <c r="N68" s="1">
        <v>45</v>
      </c>
      <c r="O68" s="1">
        <v>120</v>
      </c>
      <c r="P68" s="1">
        <v>74</v>
      </c>
      <c r="Q68" s="1">
        <v>45</v>
      </c>
      <c r="R68" s="1">
        <v>119</v>
      </c>
      <c r="S68">
        <f t="shared" si="2"/>
        <v>2.2222222222222223E-2</v>
      </c>
      <c r="T68">
        <f t="shared" si="3"/>
        <v>1.3513513513513514E-2</v>
      </c>
    </row>
    <row r="69" spans="1:20" x14ac:dyDescent="0.25">
      <c r="A69" s="2">
        <v>41809</v>
      </c>
      <c r="B69">
        <v>19</v>
      </c>
      <c r="C69" t="s">
        <v>52</v>
      </c>
      <c r="D69" s="1">
        <v>2014</v>
      </c>
      <c r="E69" s="1">
        <v>35</v>
      </c>
      <c r="F69" s="1" t="s">
        <v>27</v>
      </c>
      <c r="G69" s="1" t="s">
        <v>20</v>
      </c>
      <c r="H69" s="1" t="s">
        <v>21</v>
      </c>
      <c r="I69" s="1" t="s">
        <v>22</v>
      </c>
      <c r="J69" s="1" t="s">
        <v>23</v>
      </c>
      <c r="K69" s="1" t="s">
        <v>24</v>
      </c>
      <c r="L69" s="1" t="s">
        <v>25</v>
      </c>
      <c r="M69" s="1">
        <v>10</v>
      </c>
      <c r="N69" s="1">
        <v>45</v>
      </c>
      <c r="O69" s="1">
        <v>120</v>
      </c>
      <c r="P69" s="1">
        <v>738</v>
      </c>
      <c r="Q69" s="1">
        <v>450</v>
      </c>
      <c r="R69" s="1">
        <v>1188</v>
      </c>
      <c r="S69">
        <f t="shared" si="2"/>
        <v>0.22222222222222221</v>
      </c>
    </row>
    <row r="70" spans="1:20" x14ac:dyDescent="0.25">
      <c r="A70" s="2">
        <v>42540</v>
      </c>
      <c r="B70">
        <v>19</v>
      </c>
      <c r="C70" t="s">
        <v>52</v>
      </c>
      <c r="D70" s="1">
        <v>2016</v>
      </c>
      <c r="E70" s="1">
        <v>35</v>
      </c>
      <c r="F70" s="1" t="s">
        <v>27</v>
      </c>
      <c r="G70" s="1" t="s">
        <v>20</v>
      </c>
      <c r="H70" s="1" t="s">
        <v>21</v>
      </c>
      <c r="I70" s="1" t="s">
        <v>22</v>
      </c>
      <c r="J70" s="1" t="s">
        <v>23</v>
      </c>
      <c r="K70" s="1" t="s">
        <v>24</v>
      </c>
      <c r="L70" s="1" t="s">
        <v>25</v>
      </c>
      <c r="M70" s="1">
        <v>12</v>
      </c>
      <c r="N70" s="1">
        <v>45</v>
      </c>
      <c r="O70" s="1">
        <v>120</v>
      </c>
      <c r="P70" s="1">
        <v>886</v>
      </c>
      <c r="Q70" s="1">
        <v>540</v>
      </c>
      <c r="R70" s="1">
        <v>1426</v>
      </c>
      <c r="S70">
        <f t="shared" si="2"/>
        <v>0.26666666666666666</v>
      </c>
    </row>
    <row r="71" spans="1:20" x14ac:dyDescent="0.25">
      <c r="A71" s="2">
        <v>41702</v>
      </c>
      <c r="B71">
        <v>4</v>
      </c>
      <c r="C71" t="s">
        <v>26</v>
      </c>
      <c r="D71" s="1">
        <v>2014</v>
      </c>
      <c r="E71" s="1">
        <v>38</v>
      </c>
      <c r="F71" s="1" t="s">
        <v>27</v>
      </c>
      <c r="G71" s="1" t="s">
        <v>31</v>
      </c>
      <c r="H71" s="1" t="s">
        <v>39</v>
      </c>
      <c r="I71" s="1" t="s">
        <v>42</v>
      </c>
      <c r="J71" s="1" t="s">
        <v>23</v>
      </c>
      <c r="K71" s="1" t="s">
        <v>24</v>
      </c>
      <c r="L71" s="1" t="s">
        <v>25</v>
      </c>
      <c r="M71" s="1">
        <v>4</v>
      </c>
      <c r="N71" s="1">
        <v>45</v>
      </c>
      <c r="O71" s="1">
        <v>120</v>
      </c>
      <c r="P71" s="1">
        <v>290</v>
      </c>
      <c r="Q71" s="1">
        <v>180</v>
      </c>
      <c r="R71" s="1">
        <v>470</v>
      </c>
      <c r="S71">
        <f t="shared" si="2"/>
        <v>8.8888888888888892E-2</v>
      </c>
    </row>
    <row r="72" spans="1:20" x14ac:dyDescent="0.25">
      <c r="A72" s="2">
        <v>42433</v>
      </c>
      <c r="B72">
        <v>4</v>
      </c>
      <c r="C72" t="s">
        <v>26</v>
      </c>
      <c r="D72" s="1">
        <v>2016</v>
      </c>
      <c r="E72" s="1">
        <v>38</v>
      </c>
      <c r="F72" s="1" t="s">
        <v>27</v>
      </c>
      <c r="G72" s="1" t="s">
        <v>31</v>
      </c>
      <c r="H72" s="1" t="s">
        <v>39</v>
      </c>
      <c r="I72" s="1" t="s">
        <v>42</v>
      </c>
      <c r="J72" s="1" t="s">
        <v>23</v>
      </c>
      <c r="K72" s="1" t="s">
        <v>24</v>
      </c>
      <c r="L72" s="1" t="s">
        <v>25</v>
      </c>
      <c r="M72" s="1">
        <v>3</v>
      </c>
      <c r="N72" s="1">
        <v>45</v>
      </c>
      <c r="O72" s="1">
        <v>120</v>
      </c>
      <c r="P72" s="1">
        <v>218</v>
      </c>
      <c r="Q72" s="1">
        <v>135</v>
      </c>
      <c r="R72" s="1">
        <v>353</v>
      </c>
      <c r="S72">
        <f t="shared" si="2"/>
        <v>6.6666666666666666E-2</v>
      </c>
    </row>
    <row r="73" spans="1:20" x14ac:dyDescent="0.25">
      <c r="A73" s="2">
        <v>41789</v>
      </c>
      <c r="B73">
        <v>30</v>
      </c>
      <c r="C73" t="s">
        <v>30</v>
      </c>
      <c r="D73" s="1">
        <v>2014</v>
      </c>
      <c r="E73" s="1">
        <v>38</v>
      </c>
      <c r="F73" s="1" t="s">
        <v>27</v>
      </c>
      <c r="G73" s="1" t="s">
        <v>31</v>
      </c>
      <c r="H73" s="1" t="s">
        <v>39</v>
      </c>
      <c r="I73" s="1" t="s">
        <v>42</v>
      </c>
      <c r="J73" s="1" t="s">
        <v>23</v>
      </c>
      <c r="K73" s="1" t="s">
        <v>24</v>
      </c>
      <c r="L73" s="1" t="s">
        <v>25</v>
      </c>
      <c r="M73" s="1">
        <v>2</v>
      </c>
      <c r="N73" s="1">
        <v>45</v>
      </c>
      <c r="O73" s="1">
        <v>120</v>
      </c>
      <c r="P73" s="1">
        <v>145</v>
      </c>
      <c r="Q73" s="1">
        <v>90</v>
      </c>
      <c r="R73" s="1">
        <v>235</v>
      </c>
      <c r="S73">
        <f t="shared" si="2"/>
        <v>4.4444444444444446E-2</v>
      </c>
    </row>
    <row r="74" spans="1:20" x14ac:dyDescent="0.25">
      <c r="A74" s="2">
        <v>42520</v>
      </c>
      <c r="B74">
        <v>30</v>
      </c>
      <c r="C74" t="s">
        <v>30</v>
      </c>
      <c r="D74" s="1">
        <v>2016</v>
      </c>
      <c r="E74" s="1">
        <v>38</v>
      </c>
      <c r="F74" s="1" t="s">
        <v>27</v>
      </c>
      <c r="G74" s="1" t="s">
        <v>31</v>
      </c>
      <c r="H74" s="1" t="s">
        <v>39</v>
      </c>
      <c r="I74" s="1" t="s">
        <v>42</v>
      </c>
      <c r="J74" s="1" t="s">
        <v>23</v>
      </c>
      <c r="K74" s="1" t="s">
        <v>24</v>
      </c>
      <c r="L74" s="1" t="s">
        <v>25</v>
      </c>
      <c r="M74" s="1">
        <v>2</v>
      </c>
      <c r="N74" s="1">
        <v>45</v>
      </c>
      <c r="O74" s="1">
        <v>120</v>
      </c>
      <c r="P74" s="1">
        <v>145</v>
      </c>
      <c r="Q74" s="1">
        <v>90</v>
      </c>
      <c r="R74" s="1">
        <v>235</v>
      </c>
      <c r="S74">
        <f t="shared" si="2"/>
        <v>4.4444444444444446E-2</v>
      </c>
    </row>
    <row r="75" spans="1:20" x14ac:dyDescent="0.25">
      <c r="A75" s="2">
        <v>41818</v>
      </c>
      <c r="B75">
        <v>28</v>
      </c>
      <c r="C75" t="s">
        <v>52</v>
      </c>
      <c r="D75" s="1">
        <v>2014</v>
      </c>
      <c r="E75" s="1">
        <v>38</v>
      </c>
      <c r="F75" s="1" t="s">
        <v>27</v>
      </c>
      <c r="G75" s="1" t="s">
        <v>31</v>
      </c>
      <c r="H75" s="1" t="s">
        <v>39</v>
      </c>
      <c r="I75" s="1" t="s">
        <v>42</v>
      </c>
      <c r="J75" s="1" t="s">
        <v>23</v>
      </c>
      <c r="K75" s="1" t="s">
        <v>24</v>
      </c>
      <c r="L75" s="1" t="s">
        <v>25</v>
      </c>
      <c r="M75" s="1">
        <v>10</v>
      </c>
      <c r="N75" s="1">
        <v>45</v>
      </c>
      <c r="O75" s="1">
        <v>120</v>
      </c>
      <c r="P75" s="1">
        <v>726</v>
      </c>
      <c r="Q75" s="1">
        <v>450</v>
      </c>
      <c r="R75" s="1">
        <v>1176</v>
      </c>
      <c r="S75">
        <f t="shared" si="2"/>
        <v>0.22222222222222221</v>
      </c>
    </row>
    <row r="76" spans="1:20" x14ac:dyDescent="0.25">
      <c r="A76" s="2">
        <v>42549</v>
      </c>
      <c r="B76">
        <v>28</v>
      </c>
      <c r="C76" t="s">
        <v>52</v>
      </c>
      <c r="D76" s="1">
        <v>2016</v>
      </c>
      <c r="E76" s="1">
        <v>38</v>
      </c>
      <c r="F76" s="1" t="s">
        <v>27</v>
      </c>
      <c r="G76" s="1" t="s">
        <v>31</v>
      </c>
      <c r="H76" s="1" t="s">
        <v>39</v>
      </c>
      <c r="I76" s="1" t="s">
        <v>42</v>
      </c>
      <c r="J76" s="1" t="s">
        <v>23</v>
      </c>
      <c r="K76" s="1" t="s">
        <v>24</v>
      </c>
      <c r="L76" s="1" t="s">
        <v>25</v>
      </c>
      <c r="M76" s="1">
        <v>7</v>
      </c>
      <c r="N76" s="1">
        <v>45</v>
      </c>
      <c r="O76" s="1">
        <v>120</v>
      </c>
      <c r="P76" s="1">
        <v>508</v>
      </c>
      <c r="Q76" s="1">
        <v>315</v>
      </c>
      <c r="R76" s="1">
        <v>823</v>
      </c>
      <c r="S76">
        <f t="shared" si="2"/>
        <v>0.15555555555555556</v>
      </c>
    </row>
    <row r="77" spans="1:20" x14ac:dyDescent="0.25">
      <c r="A77" s="2">
        <v>41830</v>
      </c>
      <c r="B77">
        <v>10</v>
      </c>
      <c r="C77" t="s">
        <v>34</v>
      </c>
      <c r="D77" s="1">
        <v>2014</v>
      </c>
      <c r="E77" s="1">
        <v>38</v>
      </c>
      <c r="F77" s="1" t="s">
        <v>27</v>
      </c>
      <c r="G77" s="1" t="s">
        <v>31</v>
      </c>
      <c r="H77" s="1" t="s">
        <v>39</v>
      </c>
      <c r="I77" s="1" t="s">
        <v>42</v>
      </c>
      <c r="J77" s="1" t="s">
        <v>23</v>
      </c>
      <c r="K77" s="1" t="s">
        <v>24</v>
      </c>
      <c r="L77" s="1" t="s">
        <v>25</v>
      </c>
      <c r="M77" s="1">
        <v>13</v>
      </c>
      <c r="N77" s="1">
        <v>45</v>
      </c>
      <c r="O77" s="1">
        <v>120</v>
      </c>
      <c r="P77" s="1">
        <v>944</v>
      </c>
      <c r="Q77" s="1">
        <v>585</v>
      </c>
      <c r="R77" s="1">
        <v>1529</v>
      </c>
      <c r="S77">
        <f t="shared" si="2"/>
        <v>0.28888888888888886</v>
      </c>
    </row>
    <row r="78" spans="1:20" x14ac:dyDescent="0.25">
      <c r="A78" s="2">
        <v>42561</v>
      </c>
      <c r="B78">
        <v>10</v>
      </c>
      <c r="C78" t="s">
        <v>34</v>
      </c>
      <c r="D78" s="1">
        <v>2016</v>
      </c>
      <c r="E78" s="1">
        <v>38</v>
      </c>
      <c r="F78" s="1" t="s">
        <v>27</v>
      </c>
      <c r="G78" s="1" t="s">
        <v>31</v>
      </c>
      <c r="H78" s="1" t="s">
        <v>39</v>
      </c>
      <c r="I78" s="1" t="s">
        <v>42</v>
      </c>
      <c r="J78" s="1" t="s">
        <v>23</v>
      </c>
      <c r="K78" s="1" t="s">
        <v>24</v>
      </c>
      <c r="L78" s="1" t="s">
        <v>25</v>
      </c>
      <c r="M78" s="1">
        <v>12</v>
      </c>
      <c r="N78" s="1">
        <v>45</v>
      </c>
      <c r="O78" s="1">
        <v>120</v>
      </c>
      <c r="P78" s="1">
        <v>871</v>
      </c>
      <c r="Q78" s="1">
        <v>540</v>
      </c>
      <c r="R78" s="1">
        <v>1411</v>
      </c>
      <c r="S78">
        <f t="shared" si="2"/>
        <v>0.26666666666666666</v>
      </c>
    </row>
    <row r="79" spans="1:20" x14ac:dyDescent="0.25">
      <c r="A79" s="2">
        <v>41710</v>
      </c>
      <c r="B79">
        <v>12</v>
      </c>
      <c r="C79" t="s">
        <v>26</v>
      </c>
      <c r="D79" s="1">
        <v>2014</v>
      </c>
      <c r="E79" s="1">
        <v>54</v>
      </c>
      <c r="F79" s="1" t="s">
        <v>27</v>
      </c>
      <c r="G79" s="1" t="s">
        <v>31</v>
      </c>
      <c r="H79" s="1" t="s">
        <v>28</v>
      </c>
      <c r="I79" s="1" t="s">
        <v>48</v>
      </c>
      <c r="J79" s="1" t="s">
        <v>23</v>
      </c>
      <c r="K79" s="1" t="s">
        <v>24</v>
      </c>
      <c r="L79" s="1" t="s">
        <v>25</v>
      </c>
      <c r="M79" s="1">
        <v>7</v>
      </c>
      <c r="N79" s="1">
        <v>45</v>
      </c>
      <c r="O79" s="1">
        <v>120</v>
      </c>
      <c r="P79" s="1">
        <v>391</v>
      </c>
      <c r="Q79" s="1">
        <v>315</v>
      </c>
      <c r="R79" s="1">
        <v>706</v>
      </c>
      <c r="S79">
        <f t="shared" si="2"/>
        <v>0.15555555555555556</v>
      </c>
    </row>
    <row r="80" spans="1:20" x14ac:dyDescent="0.25">
      <c r="A80" s="2">
        <v>42441</v>
      </c>
      <c r="B80">
        <v>12</v>
      </c>
      <c r="C80" t="s">
        <v>26</v>
      </c>
      <c r="D80" s="1">
        <v>2016</v>
      </c>
      <c r="E80" s="1">
        <v>54</v>
      </c>
      <c r="F80" s="1" t="s">
        <v>27</v>
      </c>
      <c r="G80" s="1" t="s">
        <v>31</v>
      </c>
      <c r="H80" s="1" t="s">
        <v>28</v>
      </c>
      <c r="I80" s="1" t="s">
        <v>48</v>
      </c>
      <c r="J80" s="1" t="s">
        <v>23</v>
      </c>
      <c r="K80" s="1" t="s">
        <v>24</v>
      </c>
      <c r="L80" s="1" t="s">
        <v>25</v>
      </c>
      <c r="M80" s="1">
        <v>6</v>
      </c>
      <c r="N80" s="1">
        <v>45</v>
      </c>
      <c r="O80" s="1">
        <v>120</v>
      </c>
      <c r="P80" s="1">
        <v>335</v>
      </c>
      <c r="Q80" s="1">
        <v>270</v>
      </c>
      <c r="R80" s="1">
        <v>605</v>
      </c>
      <c r="S80">
        <f t="shared" si="2"/>
        <v>0.13333333333333333</v>
      </c>
    </row>
    <row r="81" spans="1:19" x14ac:dyDescent="0.25">
      <c r="A81" s="2">
        <v>41520</v>
      </c>
      <c r="B81">
        <v>3</v>
      </c>
      <c r="C81" t="s">
        <v>37</v>
      </c>
      <c r="D81" s="1">
        <v>2013</v>
      </c>
      <c r="E81" s="1">
        <v>51</v>
      </c>
      <c r="F81" s="1" t="s">
        <v>27</v>
      </c>
      <c r="G81" s="1" t="s">
        <v>31</v>
      </c>
      <c r="H81" s="1" t="s">
        <v>39</v>
      </c>
      <c r="I81" s="1" t="s">
        <v>53</v>
      </c>
      <c r="J81" s="1" t="s">
        <v>23</v>
      </c>
      <c r="K81" s="1" t="s">
        <v>24</v>
      </c>
      <c r="L81" s="1" t="s">
        <v>25</v>
      </c>
      <c r="M81" s="1">
        <v>7</v>
      </c>
      <c r="N81" s="1">
        <v>45</v>
      </c>
      <c r="O81" s="1">
        <v>120</v>
      </c>
      <c r="P81" s="1">
        <v>340</v>
      </c>
      <c r="Q81" s="1">
        <v>315</v>
      </c>
      <c r="R81" s="1">
        <v>655</v>
      </c>
      <c r="S81">
        <f t="shared" si="2"/>
        <v>0.15555555555555556</v>
      </c>
    </row>
    <row r="82" spans="1:19" x14ac:dyDescent="0.25">
      <c r="A82" s="2">
        <v>42250</v>
      </c>
      <c r="B82">
        <v>3</v>
      </c>
      <c r="C82" t="s">
        <v>37</v>
      </c>
      <c r="D82" s="1">
        <v>2015</v>
      </c>
      <c r="E82" s="1">
        <v>51</v>
      </c>
      <c r="F82" s="1" t="s">
        <v>27</v>
      </c>
      <c r="G82" s="1" t="s">
        <v>31</v>
      </c>
      <c r="H82" s="1" t="s">
        <v>39</v>
      </c>
      <c r="I82" s="1" t="s">
        <v>53</v>
      </c>
      <c r="J82" s="1" t="s">
        <v>23</v>
      </c>
      <c r="K82" s="1" t="s">
        <v>24</v>
      </c>
      <c r="L82" s="1" t="s">
        <v>25</v>
      </c>
      <c r="M82" s="1">
        <v>9</v>
      </c>
      <c r="N82" s="1">
        <v>45</v>
      </c>
      <c r="O82" s="1">
        <v>120</v>
      </c>
      <c r="P82" s="1">
        <v>437</v>
      </c>
      <c r="Q82" s="1">
        <v>405</v>
      </c>
      <c r="R82" s="1">
        <v>842</v>
      </c>
      <c r="S82">
        <f t="shared" si="2"/>
        <v>0.2</v>
      </c>
    </row>
    <row r="83" spans="1:19" x14ac:dyDescent="0.25">
      <c r="A83" s="2">
        <v>41724</v>
      </c>
      <c r="B83">
        <v>26</v>
      </c>
      <c r="C83" t="s">
        <v>26</v>
      </c>
      <c r="D83" s="1">
        <v>2014</v>
      </c>
      <c r="E83" s="1">
        <v>47</v>
      </c>
      <c r="F83" s="1" t="s">
        <v>27</v>
      </c>
      <c r="G83" s="1" t="s">
        <v>31</v>
      </c>
      <c r="H83" s="1" t="s">
        <v>39</v>
      </c>
      <c r="I83" s="1" t="s">
        <v>42</v>
      </c>
      <c r="J83" s="1" t="s">
        <v>23</v>
      </c>
      <c r="K83" s="1" t="s">
        <v>24</v>
      </c>
      <c r="L83" s="1" t="s">
        <v>25</v>
      </c>
      <c r="M83" s="1">
        <v>6</v>
      </c>
      <c r="N83" s="1">
        <v>45</v>
      </c>
      <c r="O83" s="1">
        <v>120</v>
      </c>
      <c r="P83" s="1">
        <v>436</v>
      </c>
      <c r="Q83" s="1">
        <v>270</v>
      </c>
      <c r="R83" s="1">
        <v>706</v>
      </c>
      <c r="S83">
        <f t="shared" si="2"/>
        <v>0.13333333333333333</v>
      </c>
    </row>
    <row r="84" spans="1:19" x14ac:dyDescent="0.25">
      <c r="A84" s="2">
        <v>42455</v>
      </c>
      <c r="B84">
        <v>26</v>
      </c>
      <c r="C84" t="s">
        <v>26</v>
      </c>
      <c r="D84" s="1">
        <v>2016</v>
      </c>
      <c r="E84" s="1">
        <v>47</v>
      </c>
      <c r="F84" s="1" t="s">
        <v>27</v>
      </c>
      <c r="G84" s="1" t="s">
        <v>31</v>
      </c>
      <c r="H84" s="1" t="s">
        <v>39</v>
      </c>
      <c r="I84" s="1" t="s">
        <v>42</v>
      </c>
      <c r="J84" s="1" t="s">
        <v>23</v>
      </c>
      <c r="K84" s="1" t="s">
        <v>24</v>
      </c>
      <c r="L84" s="1" t="s">
        <v>25</v>
      </c>
      <c r="M84" s="1">
        <v>4</v>
      </c>
      <c r="N84" s="1">
        <v>45</v>
      </c>
      <c r="O84" s="1">
        <v>120</v>
      </c>
      <c r="P84" s="1">
        <v>290</v>
      </c>
      <c r="Q84" s="1">
        <v>180</v>
      </c>
      <c r="R84" s="1">
        <v>470</v>
      </c>
      <c r="S84">
        <f t="shared" si="2"/>
        <v>8.8888888888888892E-2</v>
      </c>
    </row>
    <row r="85" spans="1:19" x14ac:dyDescent="0.25">
      <c r="A85" s="2">
        <v>41763</v>
      </c>
      <c r="B85">
        <v>4</v>
      </c>
      <c r="C85" t="s">
        <v>30</v>
      </c>
      <c r="D85" s="1">
        <v>2014</v>
      </c>
      <c r="E85" s="1">
        <v>47</v>
      </c>
      <c r="F85" s="1" t="s">
        <v>27</v>
      </c>
      <c r="G85" s="1" t="s">
        <v>31</v>
      </c>
      <c r="H85" s="1" t="s">
        <v>39</v>
      </c>
      <c r="I85" s="1" t="s">
        <v>42</v>
      </c>
      <c r="J85" s="1" t="s">
        <v>23</v>
      </c>
      <c r="K85" s="1" t="s">
        <v>24</v>
      </c>
      <c r="L85" s="1" t="s">
        <v>25</v>
      </c>
      <c r="M85" s="1">
        <v>17</v>
      </c>
      <c r="N85" s="1">
        <v>45</v>
      </c>
      <c r="O85" s="1">
        <v>120</v>
      </c>
      <c r="P85" s="1">
        <v>1234</v>
      </c>
      <c r="Q85" s="1">
        <v>765</v>
      </c>
      <c r="R85" s="1">
        <v>1999</v>
      </c>
      <c r="S85">
        <f t="shared" si="2"/>
        <v>0.37777777777777777</v>
      </c>
    </row>
    <row r="86" spans="1:19" x14ac:dyDescent="0.25">
      <c r="A86" s="2">
        <v>42494</v>
      </c>
      <c r="B86">
        <v>4</v>
      </c>
      <c r="C86" t="s">
        <v>30</v>
      </c>
      <c r="D86" s="1">
        <v>2016</v>
      </c>
      <c r="E86" s="1">
        <v>47</v>
      </c>
      <c r="F86" s="1" t="s">
        <v>27</v>
      </c>
      <c r="G86" s="1" t="s">
        <v>31</v>
      </c>
      <c r="H86" s="1" t="s">
        <v>39</v>
      </c>
      <c r="I86" s="1" t="s">
        <v>42</v>
      </c>
      <c r="J86" s="1" t="s">
        <v>23</v>
      </c>
      <c r="K86" s="1" t="s">
        <v>24</v>
      </c>
      <c r="L86" s="1" t="s">
        <v>25</v>
      </c>
      <c r="M86" s="1">
        <v>16</v>
      </c>
      <c r="N86" s="1">
        <v>45</v>
      </c>
      <c r="O86" s="1">
        <v>120</v>
      </c>
      <c r="P86" s="1">
        <v>1162</v>
      </c>
      <c r="Q86" s="1">
        <v>720</v>
      </c>
      <c r="R86" s="1">
        <v>1882</v>
      </c>
      <c r="S86">
        <f t="shared" si="2"/>
        <v>0.35555555555555557</v>
      </c>
    </row>
    <row r="87" spans="1:19" x14ac:dyDescent="0.25">
      <c r="A87" s="2">
        <v>41674</v>
      </c>
      <c r="B87">
        <v>4</v>
      </c>
      <c r="C87" t="s">
        <v>33</v>
      </c>
      <c r="D87" s="1">
        <v>2014</v>
      </c>
      <c r="E87" s="1">
        <v>46</v>
      </c>
      <c r="F87" s="1" t="s">
        <v>27</v>
      </c>
      <c r="G87" s="1" t="s">
        <v>20</v>
      </c>
      <c r="H87" s="1" t="s">
        <v>39</v>
      </c>
      <c r="I87" s="1" t="s">
        <v>53</v>
      </c>
      <c r="J87" s="1" t="s">
        <v>23</v>
      </c>
      <c r="K87" s="1" t="s">
        <v>24</v>
      </c>
      <c r="L87" s="1" t="s">
        <v>25</v>
      </c>
      <c r="M87" s="1">
        <v>1</v>
      </c>
      <c r="N87" s="1">
        <v>45</v>
      </c>
      <c r="O87" s="1">
        <v>120</v>
      </c>
      <c r="P87" s="1">
        <v>49</v>
      </c>
      <c r="Q87" s="1">
        <v>45</v>
      </c>
      <c r="R87" s="1">
        <v>94</v>
      </c>
      <c r="S87">
        <f t="shared" si="2"/>
        <v>2.2222222222222223E-2</v>
      </c>
    </row>
    <row r="88" spans="1:19" x14ac:dyDescent="0.25">
      <c r="A88" s="2">
        <v>42404</v>
      </c>
      <c r="B88">
        <v>4</v>
      </c>
      <c r="C88" t="s">
        <v>33</v>
      </c>
      <c r="D88" s="1">
        <v>2016</v>
      </c>
      <c r="E88" s="1">
        <v>46</v>
      </c>
      <c r="F88" s="1" t="s">
        <v>27</v>
      </c>
      <c r="G88" s="1" t="s">
        <v>20</v>
      </c>
      <c r="H88" s="1" t="s">
        <v>39</v>
      </c>
      <c r="I88" s="1" t="s">
        <v>53</v>
      </c>
      <c r="J88" s="1" t="s">
        <v>23</v>
      </c>
      <c r="K88" s="1" t="s">
        <v>24</v>
      </c>
      <c r="L88" s="1" t="s">
        <v>25</v>
      </c>
      <c r="M88" s="1">
        <v>3</v>
      </c>
      <c r="N88" s="1">
        <v>45</v>
      </c>
      <c r="O88" s="1">
        <v>120</v>
      </c>
      <c r="P88" s="1">
        <v>146</v>
      </c>
      <c r="Q88" s="1">
        <v>135</v>
      </c>
      <c r="R88" s="1">
        <v>281</v>
      </c>
      <c r="S88">
        <f t="shared" si="2"/>
        <v>6.6666666666666666E-2</v>
      </c>
    </row>
    <row r="89" spans="1:19" x14ac:dyDescent="0.25">
      <c r="A89" s="2">
        <v>41584</v>
      </c>
      <c r="B89">
        <v>6</v>
      </c>
      <c r="C89" t="s">
        <v>18</v>
      </c>
      <c r="D89" s="1">
        <v>2013</v>
      </c>
      <c r="E89" s="1">
        <v>46</v>
      </c>
      <c r="F89" s="1" t="s">
        <v>27</v>
      </c>
      <c r="G89" s="1" t="s">
        <v>20</v>
      </c>
      <c r="H89" s="1" t="s">
        <v>39</v>
      </c>
      <c r="I89" s="1" t="s">
        <v>42</v>
      </c>
      <c r="J89" s="1" t="s">
        <v>23</v>
      </c>
      <c r="K89" s="1" t="s">
        <v>24</v>
      </c>
      <c r="L89" s="1" t="s">
        <v>25</v>
      </c>
      <c r="M89" s="1">
        <v>5</v>
      </c>
      <c r="N89" s="1">
        <v>45</v>
      </c>
      <c r="O89" s="1">
        <v>120</v>
      </c>
      <c r="P89" s="1">
        <v>363</v>
      </c>
      <c r="Q89" s="1">
        <v>225</v>
      </c>
      <c r="R89" s="1">
        <v>588</v>
      </c>
      <c r="S89">
        <f t="shared" si="2"/>
        <v>0.1111111111111111</v>
      </c>
    </row>
    <row r="90" spans="1:19" x14ac:dyDescent="0.25">
      <c r="A90" s="2">
        <v>42314</v>
      </c>
      <c r="B90">
        <v>6</v>
      </c>
      <c r="C90" t="s">
        <v>18</v>
      </c>
      <c r="D90" s="1">
        <v>2015</v>
      </c>
      <c r="E90" s="1">
        <v>46</v>
      </c>
      <c r="F90" s="1" t="s">
        <v>27</v>
      </c>
      <c r="G90" s="1" t="s">
        <v>20</v>
      </c>
      <c r="H90" s="1" t="s">
        <v>39</v>
      </c>
      <c r="I90" s="1" t="s">
        <v>42</v>
      </c>
      <c r="J90" s="1" t="s">
        <v>23</v>
      </c>
      <c r="K90" s="1" t="s">
        <v>24</v>
      </c>
      <c r="L90" s="1" t="s">
        <v>25</v>
      </c>
      <c r="M90" s="1">
        <v>4</v>
      </c>
      <c r="N90" s="1">
        <v>45</v>
      </c>
      <c r="O90" s="1">
        <v>120</v>
      </c>
      <c r="P90" s="1">
        <v>290</v>
      </c>
      <c r="Q90" s="1">
        <v>180</v>
      </c>
      <c r="R90" s="1">
        <v>470</v>
      </c>
      <c r="S90">
        <f t="shared" si="2"/>
        <v>8.8888888888888892E-2</v>
      </c>
    </row>
    <row r="91" spans="1:19" x14ac:dyDescent="0.25">
      <c r="A91" s="2">
        <v>41682</v>
      </c>
      <c r="B91">
        <v>12</v>
      </c>
      <c r="C91" t="s">
        <v>33</v>
      </c>
      <c r="D91" s="1">
        <v>2014</v>
      </c>
      <c r="E91" s="1">
        <v>46</v>
      </c>
      <c r="F91" s="1" t="s">
        <v>27</v>
      </c>
      <c r="G91" s="1" t="s">
        <v>20</v>
      </c>
      <c r="H91" s="1" t="s">
        <v>39</v>
      </c>
      <c r="I91" s="1" t="s">
        <v>42</v>
      </c>
      <c r="J91" s="1" t="s">
        <v>23</v>
      </c>
      <c r="K91" s="1" t="s">
        <v>24</v>
      </c>
      <c r="L91" s="1" t="s">
        <v>25</v>
      </c>
      <c r="M91" s="1">
        <v>30</v>
      </c>
      <c r="N91" s="1">
        <v>45</v>
      </c>
      <c r="O91" s="1">
        <v>120</v>
      </c>
      <c r="P91" s="1">
        <v>2178</v>
      </c>
      <c r="Q91" s="1">
        <v>1350</v>
      </c>
      <c r="R91" s="1">
        <v>3528</v>
      </c>
      <c r="S91">
        <f t="shared" si="2"/>
        <v>0.66666666666666663</v>
      </c>
    </row>
    <row r="92" spans="1:19" x14ac:dyDescent="0.25">
      <c r="A92" s="2">
        <v>42412</v>
      </c>
      <c r="B92">
        <v>12</v>
      </c>
      <c r="C92" t="s">
        <v>33</v>
      </c>
      <c r="D92" s="1">
        <v>2016</v>
      </c>
      <c r="E92" s="1">
        <v>46</v>
      </c>
      <c r="F92" s="1" t="s">
        <v>27</v>
      </c>
      <c r="G92" s="1" t="s">
        <v>20</v>
      </c>
      <c r="H92" s="1" t="s">
        <v>39</v>
      </c>
      <c r="I92" s="1" t="s">
        <v>42</v>
      </c>
      <c r="J92" s="1" t="s">
        <v>23</v>
      </c>
      <c r="K92" s="1" t="s">
        <v>24</v>
      </c>
      <c r="L92" s="1" t="s">
        <v>25</v>
      </c>
      <c r="M92" s="1">
        <v>27</v>
      </c>
      <c r="N92" s="1">
        <v>45</v>
      </c>
      <c r="O92" s="1">
        <v>120</v>
      </c>
      <c r="P92" s="1">
        <v>1960</v>
      </c>
      <c r="Q92" s="1">
        <v>1215</v>
      </c>
      <c r="R92" s="1">
        <v>3175</v>
      </c>
      <c r="S92">
        <f t="shared" si="2"/>
        <v>0.6</v>
      </c>
    </row>
    <row r="93" spans="1:19" x14ac:dyDescent="0.25">
      <c r="A93" s="2">
        <v>41776</v>
      </c>
      <c r="B93">
        <v>17</v>
      </c>
      <c r="C93" t="s">
        <v>30</v>
      </c>
      <c r="D93" s="1">
        <v>2014</v>
      </c>
      <c r="E93" s="1">
        <v>46</v>
      </c>
      <c r="F93" s="1" t="s">
        <v>27</v>
      </c>
      <c r="G93" s="1" t="s">
        <v>20</v>
      </c>
      <c r="H93" s="1" t="s">
        <v>39</v>
      </c>
      <c r="I93" s="1" t="s">
        <v>42</v>
      </c>
      <c r="J93" s="1" t="s">
        <v>23</v>
      </c>
      <c r="K93" s="1" t="s">
        <v>24</v>
      </c>
      <c r="L93" s="1" t="s">
        <v>25</v>
      </c>
      <c r="M93" s="1">
        <v>5</v>
      </c>
      <c r="N93" s="1">
        <v>45</v>
      </c>
      <c r="O93" s="1">
        <v>120</v>
      </c>
      <c r="P93" s="1">
        <v>363</v>
      </c>
      <c r="Q93" s="1">
        <v>225</v>
      </c>
      <c r="R93" s="1">
        <v>588</v>
      </c>
      <c r="S93">
        <f t="shared" si="2"/>
        <v>0.1111111111111111</v>
      </c>
    </row>
    <row r="94" spans="1:19" x14ac:dyDescent="0.25">
      <c r="A94" s="2">
        <v>42507</v>
      </c>
      <c r="B94">
        <v>17</v>
      </c>
      <c r="C94" t="s">
        <v>30</v>
      </c>
      <c r="D94" s="1">
        <v>2016</v>
      </c>
      <c r="E94" s="1">
        <v>46</v>
      </c>
      <c r="F94" s="1" t="s">
        <v>27</v>
      </c>
      <c r="G94" s="1" t="s">
        <v>20</v>
      </c>
      <c r="H94" s="1" t="s">
        <v>39</v>
      </c>
      <c r="I94" s="1" t="s">
        <v>42</v>
      </c>
      <c r="J94" s="1" t="s">
        <v>23</v>
      </c>
      <c r="K94" s="1" t="s">
        <v>24</v>
      </c>
      <c r="L94" s="1" t="s">
        <v>25</v>
      </c>
      <c r="M94" s="1">
        <v>2</v>
      </c>
      <c r="N94" s="1">
        <v>45</v>
      </c>
      <c r="O94" s="1">
        <v>120</v>
      </c>
      <c r="P94" s="1">
        <v>145</v>
      </c>
      <c r="Q94" s="1">
        <v>90</v>
      </c>
      <c r="R94" s="1">
        <v>235</v>
      </c>
      <c r="S94">
        <f t="shared" si="2"/>
        <v>4.4444444444444446E-2</v>
      </c>
    </row>
    <row r="95" spans="1:19" x14ac:dyDescent="0.25">
      <c r="A95" s="2">
        <v>41540</v>
      </c>
      <c r="B95">
        <v>23</v>
      </c>
      <c r="C95" t="s">
        <v>37</v>
      </c>
      <c r="D95" s="1">
        <v>2013</v>
      </c>
      <c r="E95" s="1">
        <v>41</v>
      </c>
      <c r="F95" s="1" t="s">
        <v>27</v>
      </c>
      <c r="G95" s="1" t="s">
        <v>31</v>
      </c>
      <c r="H95" s="1" t="s">
        <v>43</v>
      </c>
      <c r="I95" s="1" t="s">
        <v>54</v>
      </c>
      <c r="J95" s="1" t="s">
        <v>23</v>
      </c>
      <c r="K95" s="1" t="s">
        <v>24</v>
      </c>
      <c r="L95" s="1" t="s">
        <v>25</v>
      </c>
      <c r="M95" s="1">
        <v>28</v>
      </c>
      <c r="N95" s="1">
        <v>45</v>
      </c>
      <c r="O95" s="1">
        <v>120</v>
      </c>
      <c r="P95" s="1">
        <v>1865</v>
      </c>
      <c r="Q95" s="1">
        <v>1260</v>
      </c>
      <c r="R95">
        <v>3125</v>
      </c>
      <c r="S95">
        <f t="shared" si="2"/>
        <v>0.62222222222222223</v>
      </c>
    </row>
    <row r="96" spans="1:19" x14ac:dyDescent="0.25">
      <c r="A96" s="2">
        <v>42270</v>
      </c>
      <c r="B96">
        <v>23</v>
      </c>
      <c r="C96" t="s">
        <v>37</v>
      </c>
      <c r="D96" s="1">
        <v>2015</v>
      </c>
      <c r="E96" s="1">
        <v>41</v>
      </c>
      <c r="F96" s="1" t="s">
        <v>27</v>
      </c>
      <c r="G96" s="1" t="s">
        <v>31</v>
      </c>
      <c r="H96" s="1" t="s">
        <v>43</v>
      </c>
      <c r="I96" s="1" t="s">
        <v>54</v>
      </c>
      <c r="J96" s="1" t="s">
        <v>23</v>
      </c>
      <c r="K96" s="1" t="s">
        <v>24</v>
      </c>
      <c r="L96" s="1" t="s">
        <v>25</v>
      </c>
      <c r="M96" s="1">
        <v>29</v>
      </c>
      <c r="N96" s="1">
        <v>45</v>
      </c>
      <c r="O96" s="1">
        <v>120</v>
      </c>
      <c r="P96" s="1">
        <v>1931</v>
      </c>
      <c r="Q96" s="1">
        <v>1305</v>
      </c>
      <c r="R96">
        <v>3236</v>
      </c>
      <c r="S96">
        <f t="shared" si="2"/>
        <v>0.64444444444444449</v>
      </c>
    </row>
    <row r="97" spans="1:19" x14ac:dyDescent="0.25">
      <c r="A97" s="2">
        <v>41537</v>
      </c>
      <c r="B97">
        <v>20</v>
      </c>
      <c r="C97" t="s">
        <v>37</v>
      </c>
      <c r="D97" s="1">
        <v>2013</v>
      </c>
      <c r="E97" s="1">
        <v>32</v>
      </c>
      <c r="F97" s="1" t="s">
        <v>35</v>
      </c>
      <c r="G97" s="1" t="s">
        <v>20</v>
      </c>
      <c r="H97" s="1" t="s">
        <v>39</v>
      </c>
      <c r="I97" s="1" t="s">
        <v>53</v>
      </c>
      <c r="J97" s="1" t="s">
        <v>23</v>
      </c>
      <c r="K97" s="1" t="s">
        <v>24</v>
      </c>
      <c r="L97" s="1" t="s">
        <v>25</v>
      </c>
      <c r="M97" s="1">
        <v>3</v>
      </c>
      <c r="N97" s="1">
        <v>45</v>
      </c>
      <c r="O97" s="1">
        <v>120</v>
      </c>
      <c r="P97" s="1">
        <v>146</v>
      </c>
      <c r="Q97" s="1">
        <v>135</v>
      </c>
      <c r="R97">
        <v>281</v>
      </c>
      <c r="S97">
        <f t="shared" si="2"/>
        <v>6.6666666666666666E-2</v>
      </c>
    </row>
    <row r="98" spans="1:19" x14ac:dyDescent="0.25">
      <c r="A98" s="2">
        <v>42267</v>
      </c>
      <c r="B98">
        <v>20</v>
      </c>
      <c r="C98" t="s">
        <v>37</v>
      </c>
      <c r="D98" s="1">
        <v>2015</v>
      </c>
      <c r="E98" s="1">
        <v>32</v>
      </c>
      <c r="F98" s="1" t="s">
        <v>35</v>
      </c>
      <c r="G98" s="1" t="s">
        <v>20</v>
      </c>
      <c r="H98" s="1" t="s">
        <v>39</v>
      </c>
      <c r="I98" s="1" t="s">
        <v>53</v>
      </c>
      <c r="J98" s="1" t="s">
        <v>23</v>
      </c>
      <c r="K98" s="1" t="s">
        <v>24</v>
      </c>
      <c r="L98" s="1" t="s">
        <v>25</v>
      </c>
      <c r="M98" s="1">
        <v>1</v>
      </c>
      <c r="N98" s="1">
        <v>45</v>
      </c>
      <c r="O98" s="1">
        <v>120</v>
      </c>
      <c r="P98" s="1">
        <v>49</v>
      </c>
      <c r="Q98" s="1">
        <v>45</v>
      </c>
      <c r="R98">
        <v>94</v>
      </c>
      <c r="S98">
        <f t="shared" si="2"/>
        <v>2.2222222222222223E-2</v>
      </c>
    </row>
    <row r="99" spans="1:19" x14ac:dyDescent="0.25">
      <c r="A99" s="2">
        <v>41572</v>
      </c>
      <c r="B99">
        <v>25</v>
      </c>
      <c r="C99" t="s">
        <v>55</v>
      </c>
      <c r="D99" s="1">
        <v>2013</v>
      </c>
      <c r="E99" s="1">
        <v>32</v>
      </c>
      <c r="F99" s="1" t="s">
        <v>35</v>
      </c>
      <c r="G99" s="1" t="s">
        <v>20</v>
      </c>
      <c r="H99" s="1" t="s">
        <v>39</v>
      </c>
      <c r="I99" s="1" t="s">
        <v>42</v>
      </c>
      <c r="J99" s="1" t="s">
        <v>23</v>
      </c>
      <c r="K99" s="1" t="s">
        <v>24</v>
      </c>
      <c r="L99" s="1" t="s">
        <v>25</v>
      </c>
      <c r="M99" s="1">
        <v>8</v>
      </c>
      <c r="N99" s="1">
        <v>45</v>
      </c>
      <c r="O99" s="1">
        <v>120</v>
      </c>
      <c r="P99" s="1">
        <v>581</v>
      </c>
      <c r="Q99" s="1">
        <v>360</v>
      </c>
      <c r="R99">
        <v>941</v>
      </c>
      <c r="S99">
        <f t="shared" si="2"/>
        <v>0.17777777777777778</v>
      </c>
    </row>
    <row r="100" spans="1:19" x14ac:dyDescent="0.25">
      <c r="A100" s="2">
        <v>42302</v>
      </c>
      <c r="B100">
        <v>25</v>
      </c>
      <c r="C100" t="s">
        <v>55</v>
      </c>
      <c r="D100" s="1">
        <v>2015</v>
      </c>
      <c r="E100" s="1">
        <v>32</v>
      </c>
      <c r="F100" s="1" t="s">
        <v>35</v>
      </c>
      <c r="G100" s="1" t="s">
        <v>20</v>
      </c>
      <c r="H100" s="1" t="s">
        <v>39</v>
      </c>
      <c r="I100" s="1" t="s">
        <v>42</v>
      </c>
      <c r="J100" s="1" t="s">
        <v>23</v>
      </c>
      <c r="K100" s="1" t="s">
        <v>24</v>
      </c>
      <c r="L100" s="1" t="s">
        <v>25</v>
      </c>
      <c r="M100" s="1">
        <v>9</v>
      </c>
      <c r="N100" s="1">
        <v>45</v>
      </c>
      <c r="O100" s="1">
        <v>120</v>
      </c>
      <c r="P100" s="1">
        <v>653</v>
      </c>
      <c r="Q100" s="1">
        <v>405</v>
      </c>
      <c r="R100">
        <v>1058</v>
      </c>
      <c r="S100">
        <f t="shared" si="2"/>
        <v>0.2</v>
      </c>
    </row>
    <row r="101" spans="1:19" x14ac:dyDescent="0.25">
      <c r="A101" s="2">
        <v>41770</v>
      </c>
      <c r="B101">
        <v>11</v>
      </c>
      <c r="C101" t="s">
        <v>30</v>
      </c>
      <c r="D101" s="1">
        <v>2014</v>
      </c>
      <c r="E101" s="1">
        <v>32</v>
      </c>
      <c r="F101" s="1" t="s">
        <v>35</v>
      </c>
      <c r="G101" s="1" t="s">
        <v>20</v>
      </c>
      <c r="H101" s="1" t="s">
        <v>39</v>
      </c>
      <c r="I101" s="1" t="s">
        <v>42</v>
      </c>
      <c r="J101" s="1" t="s">
        <v>23</v>
      </c>
      <c r="K101" s="1" t="s">
        <v>24</v>
      </c>
      <c r="L101" s="1" t="s">
        <v>25</v>
      </c>
      <c r="M101" s="1">
        <v>26</v>
      </c>
      <c r="N101" s="1">
        <v>45</v>
      </c>
      <c r="O101" s="1">
        <v>120</v>
      </c>
      <c r="P101" s="1">
        <v>1888</v>
      </c>
      <c r="Q101" s="1">
        <v>1170</v>
      </c>
      <c r="R101">
        <v>3058</v>
      </c>
      <c r="S101">
        <f t="shared" si="2"/>
        <v>0.57777777777777772</v>
      </c>
    </row>
    <row r="102" spans="1:19" x14ac:dyDescent="0.25">
      <c r="A102" s="2">
        <v>42501</v>
      </c>
      <c r="B102">
        <v>11</v>
      </c>
      <c r="C102" t="s">
        <v>30</v>
      </c>
      <c r="D102" s="1">
        <v>2016</v>
      </c>
      <c r="E102" s="1">
        <v>32</v>
      </c>
      <c r="F102" s="1" t="s">
        <v>35</v>
      </c>
      <c r="G102" s="1" t="s">
        <v>20</v>
      </c>
      <c r="H102" s="1" t="s">
        <v>39</v>
      </c>
      <c r="I102" s="1" t="s">
        <v>42</v>
      </c>
      <c r="J102" s="1" t="s">
        <v>23</v>
      </c>
      <c r="K102" s="1" t="s">
        <v>24</v>
      </c>
      <c r="L102" s="1" t="s">
        <v>25</v>
      </c>
      <c r="M102" s="1">
        <v>27</v>
      </c>
      <c r="N102" s="1">
        <v>45</v>
      </c>
      <c r="O102" s="1">
        <v>120</v>
      </c>
      <c r="P102" s="1">
        <v>1960</v>
      </c>
      <c r="Q102" s="1">
        <v>1215</v>
      </c>
      <c r="R102">
        <v>3175</v>
      </c>
      <c r="S102">
        <f t="shared" si="2"/>
        <v>0.6</v>
      </c>
    </row>
    <row r="103" spans="1:19" x14ac:dyDescent="0.25">
      <c r="A103" s="2">
        <v>41546</v>
      </c>
      <c r="B103">
        <v>29</v>
      </c>
      <c r="C103" t="s">
        <v>37</v>
      </c>
      <c r="D103" s="1">
        <v>2013</v>
      </c>
      <c r="E103" s="1">
        <v>33</v>
      </c>
      <c r="F103" s="1" t="s">
        <v>35</v>
      </c>
      <c r="G103" s="1" t="s">
        <v>31</v>
      </c>
      <c r="H103" s="1" t="s">
        <v>21</v>
      </c>
      <c r="I103" s="1" t="s">
        <v>22</v>
      </c>
      <c r="J103" s="1" t="s">
        <v>23</v>
      </c>
      <c r="K103" s="1" t="s">
        <v>24</v>
      </c>
      <c r="L103" s="1" t="s">
        <v>25</v>
      </c>
      <c r="M103" s="1">
        <v>5</v>
      </c>
      <c r="N103" s="1">
        <v>45</v>
      </c>
      <c r="O103" s="1">
        <v>120</v>
      </c>
      <c r="P103" s="1">
        <v>369</v>
      </c>
      <c r="Q103" s="1">
        <v>225</v>
      </c>
      <c r="R103">
        <v>594</v>
      </c>
      <c r="S103">
        <f t="shared" si="2"/>
        <v>0.1111111111111111</v>
      </c>
    </row>
    <row r="104" spans="1:19" x14ac:dyDescent="0.25">
      <c r="A104" s="2">
        <v>42276</v>
      </c>
      <c r="B104">
        <v>29</v>
      </c>
      <c r="C104" t="s">
        <v>37</v>
      </c>
      <c r="D104" s="1">
        <v>2015</v>
      </c>
      <c r="E104" s="1">
        <v>33</v>
      </c>
      <c r="F104" s="1" t="s">
        <v>35</v>
      </c>
      <c r="G104" s="1" t="s">
        <v>31</v>
      </c>
      <c r="H104" s="1" t="s">
        <v>21</v>
      </c>
      <c r="I104" s="1" t="s">
        <v>22</v>
      </c>
      <c r="J104" s="1" t="s">
        <v>23</v>
      </c>
      <c r="K104" s="1" t="s">
        <v>24</v>
      </c>
      <c r="L104" s="1" t="s">
        <v>25</v>
      </c>
      <c r="M104" s="1">
        <v>3</v>
      </c>
      <c r="N104" s="1">
        <v>45</v>
      </c>
      <c r="O104" s="1">
        <v>120</v>
      </c>
      <c r="P104" s="1">
        <v>221</v>
      </c>
      <c r="Q104" s="1">
        <v>135</v>
      </c>
      <c r="R104">
        <v>356</v>
      </c>
      <c r="S104">
        <f t="shared" si="2"/>
        <v>6.6666666666666666E-2</v>
      </c>
    </row>
    <row r="105" spans="1:19" x14ac:dyDescent="0.25">
      <c r="A105" s="2">
        <v>41775</v>
      </c>
      <c r="B105">
        <v>16</v>
      </c>
      <c r="C105" t="s">
        <v>30</v>
      </c>
      <c r="D105" s="1">
        <v>2014</v>
      </c>
      <c r="E105" s="1">
        <v>33</v>
      </c>
      <c r="F105" s="1" t="s">
        <v>35</v>
      </c>
      <c r="G105" s="1" t="s">
        <v>31</v>
      </c>
      <c r="H105" s="1" t="s">
        <v>21</v>
      </c>
      <c r="I105" s="1" t="s">
        <v>22</v>
      </c>
      <c r="J105" s="1" t="s">
        <v>23</v>
      </c>
      <c r="K105" s="1" t="s">
        <v>24</v>
      </c>
      <c r="L105" s="1" t="s">
        <v>25</v>
      </c>
      <c r="M105" s="1">
        <v>15</v>
      </c>
      <c r="N105" s="1">
        <v>45</v>
      </c>
      <c r="O105" s="1">
        <v>120</v>
      </c>
      <c r="P105" s="1">
        <v>1107</v>
      </c>
      <c r="Q105" s="1">
        <v>675</v>
      </c>
      <c r="R105">
        <v>1782</v>
      </c>
      <c r="S105">
        <f t="shared" si="2"/>
        <v>0.33333333333333331</v>
      </c>
    </row>
    <row r="106" spans="1:19" x14ac:dyDescent="0.25">
      <c r="A106" s="2">
        <v>42506</v>
      </c>
      <c r="B106">
        <v>16</v>
      </c>
      <c r="C106" t="s">
        <v>30</v>
      </c>
      <c r="D106" s="1">
        <v>2016</v>
      </c>
      <c r="E106" s="1">
        <v>33</v>
      </c>
      <c r="F106" s="1" t="s">
        <v>35</v>
      </c>
      <c r="G106" s="1" t="s">
        <v>31</v>
      </c>
      <c r="H106" s="1" t="s">
        <v>21</v>
      </c>
      <c r="I106" s="1" t="s">
        <v>22</v>
      </c>
      <c r="J106" s="1" t="s">
        <v>23</v>
      </c>
      <c r="K106" s="1" t="s">
        <v>24</v>
      </c>
      <c r="L106" s="1" t="s">
        <v>25</v>
      </c>
      <c r="M106" s="1">
        <v>15</v>
      </c>
      <c r="N106" s="1">
        <v>45</v>
      </c>
      <c r="O106" s="1">
        <v>120</v>
      </c>
      <c r="P106" s="1">
        <v>1107</v>
      </c>
      <c r="Q106" s="1">
        <v>675</v>
      </c>
      <c r="R106">
        <v>1782</v>
      </c>
      <c r="S106">
        <f t="shared" si="2"/>
        <v>0.33333333333333331</v>
      </c>
    </row>
    <row r="107" spans="1:19" x14ac:dyDescent="0.25">
      <c r="A107" s="2">
        <v>41782</v>
      </c>
      <c r="B107">
        <v>23</v>
      </c>
      <c r="C107" t="s">
        <v>30</v>
      </c>
      <c r="D107" s="1">
        <v>2014</v>
      </c>
      <c r="E107" s="1">
        <v>42</v>
      </c>
      <c r="F107" s="1" t="s">
        <v>27</v>
      </c>
      <c r="G107" s="1" t="s">
        <v>20</v>
      </c>
      <c r="H107" s="1" t="s">
        <v>39</v>
      </c>
      <c r="I107" s="1" t="s">
        <v>42</v>
      </c>
      <c r="J107" s="1" t="s">
        <v>23</v>
      </c>
      <c r="K107" s="1" t="s">
        <v>24</v>
      </c>
      <c r="L107" s="1" t="s">
        <v>25</v>
      </c>
      <c r="M107" s="1">
        <v>1</v>
      </c>
      <c r="N107" s="1">
        <v>45</v>
      </c>
      <c r="O107" s="1">
        <v>120</v>
      </c>
      <c r="P107" s="1">
        <v>73</v>
      </c>
      <c r="Q107" s="1">
        <v>45</v>
      </c>
      <c r="R107">
        <v>118</v>
      </c>
      <c r="S107">
        <f t="shared" si="2"/>
        <v>2.2222222222222223E-2</v>
      </c>
    </row>
    <row r="108" spans="1:19" x14ac:dyDescent="0.25">
      <c r="A108" s="2">
        <v>42513</v>
      </c>
      <c r="B108">
        <v>23</v>
      </c>
      <c r="C108" t="s">
        <v>30</v>
      </c>
      <c r="D108" s="1">
        <v>2016</v>
      </c>
      <c r="E108" s="1">
        <v>42</v>
      </c>
      <c r="F108" s="1" t="s">
        <v>27</v>
      </c>
      <c r="G108" s="1" t="s">
        <v>20</v>
      </c>
      <c r="H108" s="1" t="s">
        <v>39</v>
      </c>
      <c r="I108" s="1" t="s">
        <v>42</v>
      </c>
      <c r="J108" s="1" t="s">
        <v>23</v>
      </c>
      <c r="K108" s="1" t="s">
        <v>24</v>
      </c>
      <c r="L108" s="1" t="s">
        <v>25</v>
      </c>
      <c r="M108" s="1">
        <v>3</v>
      </c>
      <c r="N108" s="1">
        <v>45</v>
      </c>
      <c r="O108" s="1">
        <v>120</v>
      </c>
      <c r="P108" s="1">
        <v>218</v>
      </c>
      <c r="Q108" s="1">
        <v>135</v>
      </c>
      <c r="R108">
        <v>353</v>
      </c>
      <c r="S108">
        <f t="shared" si="2"/>
        <v>6.6666666666666666E-2</v>
      </c>
    </row>
    <row r="109" spans="1:19" x14ac:dyDescent="0.25">
      <c r="A109" s="2">
        <v>41492</v>
      </c>
      <c r="B109">
        <v>6</v>
      </c>
      <c r="C109" t="s">
        <v>36</v>
      </c>
      <c r="D109" s="1">
        <v>2013</v>
      </c>
      <c r="E109" s="1">
        <v>42</v>
      </c>
      <c r="F109" s="1" t="s">
        <v>27</v>
      </c>
      <c r="G109" s="1" t="s">
        <v>20</v>
      </c>
      <c r="H109" s="1" t="s">
        <v>39</v>
      </c>
      <c r="I109" s="1" t="s">
        <v>40</v>
      </c>
      <c r="J109" s="1" t="s">
        <v>23</v>
      </c>
      <c r="K109" s="1" t="s">
        <v>24</v>
      </c>
      <c r="L109" s="1" t="s">
        <v>25</v>
      </c>
      <c r="M109" s="1">
        <v>17</v>
      </c>
      <c r="N109" s="1">
        <v>45</v>
      </c>
      <c r="O109" s="1">
        <v>120</v>
      </c>
      <c r="P109" s="1">
        <v>989</v>
      </c>
      <c r="Q109" s="1">
        <v>765</v>
      </c>
      <c r="R109">
        <v>1754</v>
      </c>
      <c r="S109">
        <f t="shared" si="2"/>
        <v>0.37777777777777777</v>
      </c>
    </row>
    <row r="110" spans="1:19" x14ac:dyDescent="0.25">
      <c r="A110" s="2">
        <v>42222</v>
      </c>
      <c r="B110">
        <v>6</v>
      </c>
      <c r="C110" t="s">
        <v>36</v>
      </c>
      <c r="D110" s="1">
        <v>2015</v>
      </c>
      <c r="E110" s="1">
        <v>42</v>
      </c>
      <c r="F110" s="1" t="s">
        <v>27</v>
      </c>
      <c r="G110" s="1" t="s">
        <v>20</v>
      </c>
      <c r="H110" s="1" t="s">
        <v>39</v>
      </c>
      <c r="I110" s="1" t="s">
        <v>40</v>
      </c>
      <c r="J110" s="1" t="s">
        <v>23</v>
      </c>
      <c r="K110" s="1" t="s">
        <v>24</v>
      </c>
      <c r="L110" s="1" t="s">
        <v>25</v>
      </c>
      <c r="M110" s="1">
        <v>16</v>
      </c>
      <c r="N110" s="1">
        <v>45</v>
      </c>
      <c r="O110" s="1">
        <v>120</v>
      </c>
      <c r="P110" s="1">
        <v>931</v>
      </c>
      <c r="Q110" s="1">
        <v>720</v>
      </c>
      <c r="R110">
        <v>1651</v>
      </c>
      <c r="S110">
        <f t="shared" si="2"/>
        <v>0.35555555555555557</v>
      </c>
    </row>
    <row r="111" spans="1:19" x14ac:dyDescent="0.25">
      <c r="A111" s="2">
        <v>41561</v>
      </c>
      <c r="B111">
        <v>14</v>
      </c>
      <c r="C111" t="s">
        <v>55</v>
      </c>
      <c r="D111" s="1">
        <v>2013</v>
      </c>
      <c r="E111" s="1">
        <v>43</v>
      </c>
      <c r="F111" s="1" t="s">
        <v>27</v>
      </c>
      <c r="G111" s="1" t="s">
        <v>31</v>
      </c>
      <c r="H111" s="1" t="s">
        <v>39</v>
      </c>
      <c r="I111" s="1" t="s">
        <v>53</v>
      </c>
      <c r="J111" s="1" t="s">
        <v>23</v>
      </c>
      <c r="K111" s="1" t="s">
        <v>24</v>
      </c>
      <c r="L111" s="1" t="s">
        <v>25</v>
      </c>
      <c r="M111" s="1">
        <v>10</v>
      </c>
      <c r="N111" s="1">
        <v>45</v>
      </c>
      <c r="O111" s="1">
        <v>120</v>
      </c>
      <c r="P111" s="1">
        <v>486</v>
      </c>
      <c r="Q111" s="1">
        <v>450</v>
      </c>
      <c r="R111">
        <v>936</v>
      </c>
      <c r="S111">
        <f t="shared" si="2"/>
        <v>0.22222222222222221</v>
      </c>
    </row>
    <row r="112" spans="1:19" x14ac:dyDescent="0.25">
      <c r="A112" s="2">
        <v>42291</v>
      </c>
      <c r="B112">
        <v>14</v>
      </c>
      <c r="C112" t="s">
        <v>55</v>
      </c>
      <c r="D112" s="1">
        <v>2015</v>
      </c>
      <c r="E112" s="1">
        <v>43</v>
      </c>
      <c r="F112" s="1" t="s">
        <v>27</v>
      </c>
      <c r="G112" s="1" t="s">
        <v>31</v>
      </c>
      <c r="H112" s="1" t="s">
        <v>39</v>
      </c>
      <c r="I112" s="1" t="s">
        <v>53</v>
      </c>
      <c r="J112" s="1" t="s">
        <v>23</v>
      </c>
      <c r="K112" s="1" t="s">
        <v>24</v>
      </c>
      <c r="L112" s="1" t="s">
        <v>25</v>
      </c>
      <c r="M112" s="1">
        <v>10</v>
      </c>
      <c r="N112" s="1">
        <v>45</v>
      </c>
      <c r="O112" s="1">
        <v>120</v>
      </c>
      <c r="P112" s="1">
        <v>486</v>
      </c>
      <c r="Q112" s="1">
        <v>450</v>
      </c>
      <c r="R112">
        <v>936</v>
      </c>
      <c r="S112">
        <f t="shared" si="2"/>
        <v>0.22222222222222221</v>
      </c>
    </row>
    <row r="113" spans="1:19" x14ac:dyDescent="0.25">
      <c r="A113" s="2">
        <v>41614</v>
      </c>
      <c r="B113">
        <v>6</v>
      </c>
      <c r="C113" t="s">
        <v>41</v>
      </c>
      <c r="D113" s="1">
        <v>2013</v>
      </c>
      <c r="E113" s="1">
        <v>43</v>
      </c>
      <c r="F113" s="1" t="s">
        <v>27</v>
      </c>
      <c r="G113" s="1" t="s">
        <v>31</v>
      </c>
      <c r="H113" s="1" t="s">
        <v>39</v>
      </c>
      <c r="I113" s="1" t="s">
        <v>53</v>
      </c>
      <c r="J113" s="1" t="s">
        <v>23</v>
      </c>
      <c r="K113" s="1" t="s">
        <v>24</v>
      </c>
      <c r="L113" s="1" t="s">
        <v>25</v>
      </c>
      <c r="M113" s="1">
        <v>10</v>
      </c>
      <c r="N113" s="1">
        <v>45</v>
      </c>
      <c r="O113" s="1">
        <v>120</v>
      </c>
      <c r="P113" s="1">
        <v>486</v>
      </c>
      <c r="Q113" s="1">
        <v>450</v>
      </c>
      <c r="R113">
        <v>936</v>
      </c>
      <c r="S113">
        <f t="shared" si="2"/>
        <v>0.22222222222222221</v>
      </c>
    </row>
    <row r="114" spans="1:19" x14ac:dyDescent="0.25">
      <c r="A114" s="2">
        <v>42344</v>
      </c>
      <c r="B114">
        <v>6</v>
      </c>
      <c r="C114" t="s">
        <v>41</v>
      </c>
      <c r="D114" s="1">
        <v>2015</v>
      </c>
      <c r="E114" s="1">
        <v>43</v>
      </c>
      <c r="F114" s="1" t="s">
        <v>27</v>
      </c>
      <c r="G114" s="1" t="s">
        <v>31</v>
      </c>
      <c r="H114" s="1" t="s">
        <v>39</v>
      </c>
      <c r="I114" s="1" t="s">
        <v>53</v>
      </c>
      <c r="J114" s="1" t="s">
        <v>23</v>
      </c>
      <c r="K114" s="1" t="s">
        <v>24</v>
      </c>
      <c r="L114" s="1" t="s">
        <v>25</v>
      </c>
      <c r="M114" s="1">
        <v>9</v>
      </c>
      <c r="N114" s="1">
        <v>45</v>
      </c>
      <c r="O114" s="1">
        <v>120</v>
      </c>
      <c r="P114" s="1">
        <v>437</v>
      </c>
      <c r="Q114" s="1">
        <v>405</v>
      </c>
      <c r="R114">
        <v>842</v>
      </c>
      <c r="S114">
        <f t="shared" si="2"/>
        <v>0.2</v>
      </c>
    </row>
    <row r="115" spans="1:19" x14ac:dyDescent="0.25">
      <c r="A115" s="2">
        <v>41626</v>
      </c>
      <c r="B115">
        <v>18</v>
      </c>
      <c r="C115" t="s">
        <v>41</v>
      </c>
      <c r="D115" s="1">
        <v>2013</v>
      </c>
      <c r="E115" s="1">
        <v>45</v>
      </c>
      <c r="F115" s="1" t="s">
        <v>27</v>
      </c>
      <c r="G115" s="1" t="s">
        <v>31</v>
      </c>
      <c r="H115" s="1" t="s">
        <v>39</v>
      </c>
      <c r="I115" s="1" t="s">
        <v>53</v>
      </c>
      <c r="J115" s="1" t="s">
        <v>23</v>
      </c>
      <c r="K115" s="1" t="s">
        <v>24</v>
      </c>
      <c r="L115" s="1" t="s">
        <v>25</v>
      </c>
      <c r="M115" s="1">
        <v>3</v>
      </c>
      <c r="N115" s="1">
        <v>45</v>
      </c>
      <c r="O115" s="1">
        <v>120</v>
      </c>
      <c r="P115" s="1">
        <v>146</v>
      </c>
      <c r="Q115" s="1">
        <v>135</v>
      </c>
      <c r="R115">
        <v>281</v>
      </c>
      <c r="S115">
        <f t="shared" si="2"/>
        <v>6.6666666666666666E-2</v>
      </c>
    </row>
    <row r="116" spans="1:19" x14ac:dyDescent="0.25">
      <c r="A116" s="2">
        <v>42356</v>
      </c>
      <c r="B116">
        <v>18</v>
      </c>
      <c r="C116" t="s">
        <v>41</v>
      </c>
      <c r="D116" s="1">
        <v>2015</v>
      </c>
      <c r="E116" s="1">
        <v>45</v>
      </c>
      <c r="F116" s="1" t="s">
        <v>27</v>
      </c>
      <c r="G116" s="1" t="s">
        <v>31</v>
      </c>
      <c r="H116" s="1" t="s">
        <v>39</v>
      </c>
      <c r="I116" s="1" t="s">
        <v>53</v>
      </c>
      <c r="J116" s="1" t="s">
        <v>23</v>
      </c>
      <c r="K116" s="1" t="s">
        <v>24</v>
      </c>
      <c r="L116" s="1" t="s">
        <v>25</v>
      </c>
      <c r="M116" s="1">
        <v>2</v>
      </c>
      <c r="N116" s="1">
        <v>45</v>
      </c>
      <c r="O116" s="1">
        <v>120</v>
      </c>
      <c r="P116" s="1">
        <v>97</v>
      </c>
      <c r="Q116" s="1">
        <v>90</v>
      </c>
      <c r="R116">
        <v>187</v>
      </c>
      <c r="S116">
        <f t="shared" si="2"/>
        <v>4.4444444444444446E-2</v>
      </c>
    </row>
    <row r="117" spans="1:19" x14ac:dyDescent="0.25">
      <c r="A117" s="2">
        <v>41530</v>
      </c>
      <c r="B117">
        <v>13</v>
      </c>
      <c r="C117" t="s">
        <v>37</v>
      </c>
      <c r="D117" s="1">
        <v>2013</v>
      </c>
      <c r="E117" s="1">
        <v>53</v>
      </c>
      <c r="F117" s="1" t="s">
        <v>27</v>
      </c>
      <c r="G117" s="1" t="s">
        <v>20</v>
      </c>
      <c r="H117" s="1" t="s">
        <v>49</v>
      </c>
      <c r="I117" s="1" t="s">
        <v>50</v>
      </c>
      <c r="J117" s="1" t="s">
        <v>23</v>
      </c>
      <c r="K117" s="1" t="s">
        <v>24</v>
      </c>
      <c r="L117" s="1" t="s">
        <v>25</v>
      </c>
      <c r="M117" s="1">
        <v>4</v>
      </c>
      <c r="N117" s="1">
        <v>45</v>
      </c>
      <c r="O117" s="1">
        <v>120</v>
      </c>
      <c r="P117" s="1">
        <v>281</v>
      </c>
      <c r="Q117" s="1">
        <v>180</v>
      </c>
      <c r="R117">
        <v>461</v>
      </c>
      <c r="S117">
        <f t="shared" si="2"/>
        <v>8.8888888888888892E-2</v>
      </c>
    </row>
    <row r="118" spans="1:19" x14ac:dyDescent="0.25">
      <c r="A118" s="2">
        <v>42260</v>
      </c>
      <c r="B118">
        <v>13</v>
      </c>
      <c r="C118" t="s">
        <v>37</v>
      </c>
      <c r="D118" s="1">
        <v>2015</v>
      </c>
      <c r="E118" s="1">
        <v>53</v>
      </c>
      <c r="F118" s="1" t="s">
        <v>27</v>
      </c>
      <c r="G118" s="1" t="s">
        <v>20</v>
      </c>
      <c r="H118" s="1" t="s">
        <v>49</v>
      </c>
      <c r="I118" s="1" t="s">
        <v>50</v>
      </c>
      <c r="J118" s="1" t="s">
        <v>23</v>
      </c>
      <c r="K118" s="1" t="s">
        <v>24</v>
      </c>
      <c r="L118" s="1" t="s">
        <v>25</v>
      </c>
      <c r="M118" s="1">
        <v>2</v>
      </c>
      <c r="N118" s="1">
        <v>45</v>
      </c>
      <c r="O118" s="1">
        <v>120</v>
      </c>
      <c r="P118" s="1">
        <v>140</v>
      </c>
      <c r="Q118" s="1">
        <v>90</v>
      </c>
      <c r="R118">
        <v>230</v>
      </c>
      <c r="S118">
        <f t="shared" si="2"/>
        <v>4.4444444444444446E-2</v>
      </c>
    </row>
    <row r="119" spans="1:19" x14ac:dyDescent="0.25">
      <c r="A119" s="2">
        <v>41574</v>
      </c>
      <c r="B119">
        <v>27</v>
      </c>
      <c r="C119" t="s">
        <v>55</v>
      </c>
      <c r="D119" s="1">
        <v>2013</v>
      </c>
      <c r="E119" s="1">
        <v>21</v>
      </c>
      <c r="F119" s="1" t="s">
        <v>19</v>
      </c>
      <c r="G119" s="1" t="s">
        <v>31</v>
      </c>
      <c r="H119" s="1" t="s">
        <v>28</v>
      </c>
      <c r="I119" s="1" t="s">
        <v>32</v>
      </c>
      <c r="J119" s="1" t="s">
        <v>23</v>
      </c>
      <c r="K119" s="1" t="s">
        <v>24</v>
      </c>
      <c r="L119" s="1" t="s">
        <v>25</v>
      </c>
      <c r="M119" s="1">
        <v>3</v>
      </c>
      <c r="N119" s="1">
        <v>45</v>
      </c>
      <c r="O119" s="1">
        <v>120</v>
      </c>
      <c r="P119" s="1">
        <v>149</v>
      </c>
      <c r="Q119" s="1">
        <v>135</v>
      </c>
      <c r="R119">
        <v>284</v>
      </c>
      <c r="S119">
        <f t="shared" si="2"/>
        <v>6.6666666666666666E-2</v>
      </c>
    </row>
    <row r="120" spans="1:19" x14ac:dyDescent="0.25">
      <c r="A120" s="2">
        <v>42304</v>
      </c>
      <c r="B120">
        <v>27</v>
      </c>
      <c r="C120" t="s">
        <v>55</v>
      </c>
      <c r="D120" s="1">
        <v>2015</v>
      </c>
      <c r="E120" s="1">
        <v>21</v>
      </c>
      <c r="F120" s="1" t="s">
        <v>19</v>
      </c>
      <c r="G120" s="1" t="s">
        <v>31</v>
      </c>
      <c r="H120" s="1" t="s">
        <v>28</v>
      </c>
      <c r="I120" s="1" t="s">
        <v>32</v>
      </c>
      <c r="J120" s="1" t="s">
        <v>23</v>
      </c>
      <c r="K120" s="1" t="s">
        <v>24</v>
      </c>
      <c r="L120" s="1" t="s">
        <v>25</v>
      </c>
      <c r="M120" s="1">
        <v>1</v>
      </c>
      <c r="N120" s="1">
        <v>45</v>
      </c>
      <c r="O120" s="1">
        <v>120</v>
      </c>
      <c r="P120" s="1">
        <v>50</v>
      </c>
      <c r="Q120" s="1">
        <v>45</v>
      </c>
      <c r="R120">
        <v>95</v>
      </c>
      <c r="S120">
        <f t="shared" si="2"/>
        <v>2.2222222222222223E-2</v>
      </c>
    </row>
    <row r="121" spans="1:19" x14ac:dyDescent="0.25">
      <c r="A121" s="2">
        <v>41641</v>
      </c>
      <c r="B121">
        <v>2</v>
      </c>
      <c r="C121" t="s">
        <v>38</v>
      </c>
      <c r="D121" s="1">
        <v>2014</v>
      </c>
      <c r="E121" s="1">
        <v>34</v>
      </c>
      <c r="F121" s="1" t="s">
        <v>35</v>
      </c>
      <c r="G121" s="1" t="s">
        <v>31</v>
      </c>
      <c r="H121" s="1" t="s">
        <v>28</v>
      </c>
      <c r="I121" s="1" t="s">
        <v>29</v>
      </c>
      <c r="J121" s="1" t="s">
        <v>23</v>
      </c>
      <c r="K121" s="1" t="s">
        <v>24</v>
      </c>
      <c r="L121" s="1" t="s">
        <v>25</v>
      </c>
      <c r="M121" s="1">
        <v>5</v>
      </c>
      <c r="N121" s="1">
        <v>45</v>
      </c>
      <c r="O121" s="1">
        <v>120</v>
      </c>
      <c r="P121" s="1">
        <v>297</v>
      </c>
      <c r="Q121" s="1">
        <v>225</v>
      </c>
      <c r="R121">
        <v>133.21538461539001</v>
      </c>
      <c r="S121">
        <f t="shared" si="2"/>
        <v>0.1111111111111111</v>
      </c>
    </row>
    <row r="122" spans="1:19" x14ac:dyDescent="0.25">
      <c r="A122" s="2">
        <v>42371</v>
      </c>
      <c r="B122">
        <v>2</v>
      </c>
      <c r="C122" t="s">
        <v>38</v>
      </c>
      <c r="D122" s="1">
        <v>2016</v>
      </c>
      <c r="E122" s="1">
        <v>34</v>
      </c>
      <c r="F122" s="1" t="s">
        <v>35</v>
      </c>
      <c r="G122" s="1" t="s">
        <v>31</v>
      </c>
      <c r="H122" s="1" t="s">
        <v>28</v>
      </c>
      <c r="I122" s="1" t="s">
        <v>29</v>
      </c>
      <c r="J122" s="1" t="s">
        <v>23</v>
      </c>
      <c r="K122" s="1" t="s">
        <v>24</v>
      </c>
      <c r="L122" s="1" t="s">
        <v>25</v>
      </c>
      <c r="M122" s="1">
        <v>3</v>
      </c>
      <c r="N122" s="1">
        <v>45</v>
      </c>
      <c r="O122" s="1">
        <v>120</v>
      </c>
      <c r="P122" s="1">
        <v>178</v>
      </c>
      <c r="Q122" s="1">
        <v>135</v>
      </c>
      <c r="R122">
        <v>61.755555555559802</v>
      </c>
      <c r="S122">
        <f t="shared" si="2"/>
        <v>6.6666666666666666E-2</v>
      </c>
    </row>
    <row r="123" spans="1:19" x14ac:dyDescent="0.25">
      <c r="A123" s="2">
        <v>41769</v>
      </c>
      <c r="B123">
        <v>10</v>
      </c>
      <c r="C123" t="s">
        <v>30</v>
      </c>
      <c r="D123" s="1">
        <v>2014</v>
      </c>
      <c r="E123" s="1">
        <v>22</v>
      </c>
      <c r="F123" s="1" t="s">
        <v>19</v>
      </c>
      <c r="G123" s="1" t="s">
        <v>31</v>
      </c>
      <c r="H123" s="1" t="s">
        <v>39</v>
      </c>
      <c r="I123" s="1" t="s">
        <v>42</v>
      </c>
      <c r="J123" s="1" t="s">
        <v>23</v>
      </c>
      <c r="K123" s="1" t="s">
        <v>24</v>
      </c>
      <c r="L123" s="1" t="s">
        <v>25</v>
      </c>
      <c r="M123" s="1">
        <v>1</v>
      </c>
      <c r="N123" s="1">
        <v>45</v>
      </c>
      <c r="O123" s="1">
        <v>120</v>
      </c>
      <c r="P123" s="1">
        <v>73</v>
      </c>
      <c r="Q123" s="1">
        <v>45</v>
      </c>
      <c r="R123">
        <v>-9.7042735042703008</v>
      </c>
      <c r="S123">
        <f t="shared" si="2"/>
        <v>2.2222222222222223E-2</v>
      </c>
    </row>
    <row r="124" spans="1:19" x14ac:dyDescent="0.25">
      <c r="A124" s="2">
        <v>42500</v>
      </c>
      <c r="B124">
        <v>10</v>
      </c>
      <c r="C124" t="s">
        <v>30</v>
      </c>
      <c r="D124" s="1">
        <v>2016</v>
      </c>
      <c r="E124" s="1">
        <v>22</v>
      </c>
      <c r="F124" s="1" t="s">
        <v>19</v>
      </c>
      <c r="G124" s="1" t="s">
        <v>31</v>
      </c>
      <c r="H124" s="1" t="s">
        <v>39</v>
      </c>
      <c r="I124" s="1" t="s">
        <v>42</v>
      </c>
      <c r="J124" s="1" t="s">
        <v>23</v>
      </c>
      <c r="K124" s="1" t="s">
        <v>24</v>
      </c>
      <c r="L124" s="1" t="s">
        <v>25</v>
      </c>
      <c r="M124" s="1">
        <v>1</v>
      </c>
      <c r="N124" s="1">
        <v>45</v>
      </c>
      <c r="O124" s="1">
        <v>120</v>
      </c>
      <c r="P124" s="1">
        <v>73</v>
      </c>
      <c r="Q124" s="1">
        <v>45</v>
      </c>
      <c r="R124">
        <v>-81.164102564100403</v>
      </c>
      <c r="S124">
        <f t="shared" si="2"/>
        <v>2.2222222222222223E-2</v>
      </c>
    </row>
    <row r="125" spans="1:19" x14ac:dyDescent="0.25">
      <c r="A125" s="2">
        <v>41756</v>
      </c>
      <c r="B125">
        <v>27</v>
      </c>
      <c r="C125" t="s">
        <v>56</v>
      </c>
      <c r="D125" s="1">
        <v>2014</v>
      </c>
      <c r="E125" s="1">
        <v>67</v>
      </c>
      <c r="F125" s="1" t="s">
        <v>57</v>
      </c>
      <c r="G125" s="1" t="s">
        <v>31</v>
      </c>
      <c r="H125" s="1" t="s">
        <v>39</v>
      </c>
      <c r="I125" s="1" t="s">
        <v>42</v>
      </c>
      <c r="J125" s="1" t="s">
        <v>23</v>
      </c>
      <c r="K125" s="1" t="s">
        <v>24</v>
      </c>
      <c r="L125" s="1" t="s">
        <v>25</v>
      </c>
      <c r="M125" s="1">
        <v>2</v>
      </c>
      <c r="N125" s="1">
        <v>45</v>
      </c>
      <c r="O125" s="1">
        <v>120</v>
      </c>
      <c r="P125" s="1">
        <v>145</v>
      </c>
      <c r="Q125" s="1">
        <v>90</v>
      </c>
      <c r="R125">
        <v>-152.62393162392999</v>
      </c>
      <c r="S125">
        <f t="shared" si="2"/>
        <v>4.4444444444444446E-2</v>
      </c>
    </row>
    <row r="126" spans="1:19" x14ac:dyDescent="0.25">
      <c r="A126" s="2">
        <v>42487</v>
      </c>
      <c r="B126">
        <v>27</v>
      </c>
      <c r="C126" t="s">
        <v>56</v>
      </c>
      <c r="D126" s="1">
        <v>2016</v>
      </c>
      <c r="E126" s="1">
        <v>67</v>
      </c>
      <c r="F126" s="1" t="s">
        <v>57</v>
      </c>
      <c r="G126" s="1" t="s">
        <v>31</v>
      </c>
      <c r="H126" s="1" t="s">
        <v>39</v>
      </c>
      <c r="I126" s="1" t="s">
        <v>42</v>
      </c>
      <c r="J126" s="1" t="s">
        <v>23</v>
      </c>
      <c r="K126" s="1" t="s">
        <v>24</v>
      </c>
      <c r="L126" s="1" t="s">
        <v>25</v>
      </c>
      <c r="M126" s="1">
        <v>1</v>
      </c>
      <c r="N126" s="1">
        <v>45</v>
      </c>
      <c r="O126" s="1">
        <v>120</v>
      </c>
      <c r="P126" s="1">
        <v>73</v>
      </c>
      <c r="Q126" s="1">
        <v>45</v>
      </c>
      <c r="R126">
        <v>-224.08376068376</v>
      </c>
      <c r="S126">
        <f t="shared" si="2"/>
        <v>2.2222222222222223E-2</v>
      </c>
    </row>
    <row r="127" spans="1:19" x14ac:dyDescent="0.25">
      <c r="A127" s="2">
        <v>41630</v>
      </c>
      <c r="B127">
        <v>22</v>
      </c>
      <c r="C127" t="s">
        <v>41</v>
      </c>
      <c r="D127" s="1">
        <v>2013</v>
      </c>
      <c r="E127" s="1">
        <v>31</v>
      </c>
      <c r="F127" s="1" t="s">
        <v>35</v>
      </c>
      <c r="G127" s="1" t="s">
        <v>20</v>
      </c>
      <c r="H127" s="1" t="s">
        <v>39</v>
      </c>
      <c r="I127" s="1" t="s">
        <v>53</v>
      </c>
      <c r="J127" s="1" t="s">
        <v>23</v>
      </c>
      <c r="K127" s="1" t="s">
        <v>24</v>
      </c>
      <c r="L127" s="1" t="s">
        <v>25</v>
      </c>
      <c r="M127" s="1">
        <v>3</v>
      </c>
      <c r="N127" s="1">
        <v>45</v>
      </c>
      <c r="O127" s="1">
        <v>120</v>
      </c>
      <c r="P127" s="1">
        <v>146</v>
      </c>
      <c r="Q127" s="1">
        <v>135</v>
      </c>
      <c r="R127">
        <v>-295.54358974359002</v>
      </c>
      <c r="S127">
        <f t="shared" si="2"/>
        <v>6.6666666666666666E-2</v>
      </c>
    </row>
    <row r="128" spans="1:19" x14ac:dyDescent="0.25">
      <c r="A128" s="2">
        <v>42360</v>
      </c>
      <c r="B128">
        <v>22</v>
      </c>
      <c r="C128" t="s">
        <v>41</v>
      </c>
      <c r="D128" s="1">
        <v>2015</v>
      </c>
      <c r="E128" s="1">
        <v>31</v>
      </c>
      <c r="F128" s="1" t="s">
        <v>35</v>
      </c>
      <c r="G128" s="1" t="s">
        <v>20</v>
      </c>
      <c r="H128" s="1" t="s">
        <v>39</v>
      </c>
      <c r="I128" s="1" t="s">
        <v>53</v>
      </c>
      <c r="J128" s="1" t="s">
        <v>23</v>
      </c>
      <c r="K128" s="1" t="s">
        <v>24</v>
      </c>
      <c r="L128" s="1" t="s">
        <v>25</v>
      </c>
      <c r="M128" s="1">
        <v>5</v>
      </c>
      <c r="N128" s="1">
        <v>45</v>
      </c>
      <c r="O128" s="1">
        <v>120</v>
      </c>
      <c r="P128" s="1">
        <v>243</v>
      </c>
      <c r="Q128" s="1">
        <v>225</v>
      </c>
      <c r="R128">
        <v>-367.00341880342</v>
      </c>
      <c r="S128">
        <f t="shared" si="2"/>
        <v>0.1111111111111111</v>
      </c>
    </row>
    <row r="129" spans="1:19" x14ac:dyDescent="0.25">
      <c r="A129" s="2">
        <v>41606</v>
      </c>
      <c r="B129">
        <v>28</v>
      </c>
      <c r="C129" t="s">
        <v>18</v>
      </c>
      <c r="D129" s="1">
        <v>2013</v>
      </c>
      <c r="E129" s="1">
        <v>31</v>
      </c>
      <c r="F129" s="1" t="s">
        <v>35</v>
      </c>
      <c r="G129" s="1" t="s">
        <v>20</v>
      </c>
      <c r="H129" s="1" t="s">
        <v>39</v>
      </c>
      <c r="I129" s="1" t="s">
        <v>40</v>
      </c>
      <c r="J129" s="1" t="s">
        <v>23</v>
      </c>
      <c r="K129" s="1" t="s">
        <v>24</v>
      </c>
      <c r="L129" s="1" t="s">
        <v>25</v>
      </c>
      <c r="M129" s="1">
        <v>12</v>
      </c>
      <c r="N129" s="1">
        <v>45</v>
      </c>
      <c r="O129" s="1">
        <v>120</v>
      </c>
      <c r="P129" s="1">
        <v>698</v>
      </c>
      <c r="Q129" s="1">
        <v>540</v>
      </c>
      <c r="R129">
        <v>-438.46324786324999</v>
      </c>
      <c r="S129">
        <f t="shared" si="2"/>
        <v>0.26666666666666666</v>
      </c>
    </row>
    <row r="130" spans="1:19" x14ac:dyDescent="0.25">
      <c r="A130" s="2">
        <v>42336</v>
      </c>
      <c r="B130">
        <v>28</v>
      </c>
      <c r="C130" t="s">
        <v>18</v>
      </c>
      <c r="D130" s="1">
        <v>2015</v>
      </c>
      <c r="E130" s="1">
        <v>31</v>
      </c>
      <c r="F130" s="1" t="s">
        <v>35</v>
      </c>
      <c r="G130" s="1" t="s">
        <v>20</v>
      </c>
      <c r="H130" s="1" t="s">
        <v>39</v>
      </c>
      <c r="I130" s="1" t="s">
        <v>40</v>
      </c>
      <c r="J130" s="1" t="s">
        <v>23</v>
      </c>
      <c r="K130" s="1" t="s">
        <v>24</v>
      </c>
      <c r="L130" s="1" t="s">
        <v>25</v>
      </c>
      <c r="M130" s="1">
        <v>12</v>
      </c>
      <c r="N130" s="1">
        <v>45</v>
      </c>
      <c r="O130" s="1">
        <v>120</v>
      </c>
      <c r="P130" s="1">
        <v>698</v>
      </c>
      <c r="Q130" s="1">
        <v>540</v>
      </c>
      <c r="R130">
        <v>-509.92307692307998</v>
      </c>
      <c r="S130">
        <f t="shared" ref="S130:S149" si="4">M130/N130</f>
        <v>0.26666666666666666</v>
      </c>
    </row>
    <row r="131" spans="1:19" x14ac:dyDescent="0.25">
      <c r="A131" s="2">
        <v>41848</v>
      </c>
      <c r="B131">
        <v>28</v>
      </c>
      <c r="C131" t="s">
        <v>34</v>
      </c>
      <c r="D131" s="1">
        <v>2014</v>
      </c>
      <c r="E131" s="1">
        <v>37</v>
      </c>
      <c r="F131" s="1" t="s">
        <v>27</v>
      </c>
      <c r="G131" s="1" t="s">
        <v>20</v>
      </c>
      <c r="H131" s="1" t="s">
        <v>45</v>
      </c>
      <c r="I131" s="1" t="s">
        <v>51</v>
      </c>
      <c r="J131" s="1" t="s">
        <v>23</v>
      </c>
      <c r="K131" s="1" t="s">
        <v>24</v>
      </c>
      <c r="L131" s="1" t="s">
        <v>25</v>
      </c>
      <c r="M131" s="1">
        <v>4</v>
      </c>
      <c r="N131" s="1">
        <v>45</v>
      </c>
      <c r="O131" s="1">
        <v>120</v>
      </c>
      <c r="P131" s="1">
        <v>238</v>
      </c>
      <c r="Q131" s="1">
        <v>180</v>
      </c>
      <c r="R131">
        <v>-581.38290598289996</v>
      </c>
      <c r="S131">
        <f t="shared" si="4"/>
        <v>8.8888888888888892E-2</v>
      </c>
    </row>
    <row r="132" spans="1:19" x14ac:dyDescent="0.25">
      <c r="A132" s="2">
        <v>42579</v>
      </c>
      <c r="B132">
        <v>28</v>
      </c>
      <c r="C132" t="s">
        <v>34</v>
      </c>
      <c r="D132" s="1">
        <v>2016</v>
      </c>
      <c r="E132" s="1">
        <v>37</v>
      </c>
      <c r="F132" s="1" t="s">
        <v>27</v>
      </c>
      <c r="G132" s="1" t="s">
        <v>20</v>
      </c>
      <c r="H132" s="1" t="s">
        <v>45</v>
      </c>
      <c r="I132" s="1" t="s">
        <v>51</v>
      </c>
      <c r="J132" s="1" t="s">
        <v>23</v>
      </c>
      <c r="K132" s="1" t="s">
        <v>24</v>
      </c>
      <c r="L132" s="1" t="s">
        <v>25</v>
      </c>
      <c r="M132" s="1">
        <v>3</v>
      </c>
      <c r="N132" s="1">
        <v>45</v>
      </c>
      <c r="O132" s="1">
        <v>120</v>
      </c>
      <c r="P132" s="1">
        <v>178</v>
      </c>
      <c r="Q132" s="1">
        <v>135</v>
      </c>
      <c r="R132">
        <v>-652.84273504273006</v>
      </c>
      <c r="S132">
        <f t="shared" si="4"/>
        <v>6.6666666666666666E-2</v>
      </c>
    </row>
    <row r="133" spans="1:19" x14ac:dyDescent="0.25">
      <c r="A133" s="2">
        <v>41742</v>
      </c>
      <c r="B133">
        <v>13</v>
      </c>
      <c r="C133" t="s">
        <v>56</v>
      </c>
      <c r="D133" s="1">
        <v>2014</v>
      </c>
      <c r="E133" s="1">
        <v>26</v>
      </c>
      <c r="F133" s="1" t="s">
        <v>35</v>
      </c>
      <c r="G133" s="1" t="s">
        <v>20</v>
      </c>
      <c r="H133" s="1" t="s">
        <v>28</v>
      </c>
      <c r="I133" s="1" t="s">
        <v>48</v>
      </c>
      <c r="J133" s="1" t="s">
        <v>23</v>
      </c>
      <c r="K133" s="1" t="s">
        <v>24</v>
      </c>
      <c r="L133" s="1" t="s">
        <v>25</v>
      </c>
      <c r="M133" s="1">
        <v>5</v>
      </c>
      <c r="N133" s="1">
        <v>45</v>
      </c>
      <c r="O133" s="1">
        <v>120</v>
      </c>
      <c r="P133" s="1">
        <v>279</v>
      </c>
      <c r="Q133" s="1">
        <v>225</v>
      </c>
      <c r="R133">
        <v>-724.30256410256004</v>
      </c>
      <c r="S133">
        <f t="shared" si="4"/>
        <v>0.1111111111111111</v>
      </c>
    </row>
    <row r="134" spans="1:19" x14ac:dyDescent="0.25">
      <c r="A134" s="2">
        <v>42473</v>
      </c>
      <c r="B134">
        <v>13</v>
      </c>
      <c r="C134" t="s">
        <v>56</v>
      </c>
      <c r="D134" s="1">
        <v>2016</v>
      </c>
      <c r="E134" s="1">
        <v>26</v>
      </c>
      <c r="F134" s="1" t="s">
        <v>35</v>
      </c>
      <c r="G134" s="1" t="s">
        <v>20</v>
      </c>
      <c r="H134" s="1" t="s">
        <v>28</v>
      </c>
      <c r="I134" s="1" t="s">
        <v>48</v>
      </c>
      <c r="J134" s="1" t="s">
        <v>23</v>
      </c>
      <c r="K134" s="1" t="s">
        <v>24</v>
      </c>
      <c r="L134" s="1" t="s">
        <v>25</v>
      </c>
      <c r="M134" s="1">
        <v>7</v>
      </c>
      <c r="N134" s="1">
        <v>45</v>
      </c>
      <c r="O134" s="1">
        <v>120</v>
      </c>
      <c r="P134" s="1">
        <v>391</v>
      </c>
      <c r="Q134" s="1">
        <v>315</v>
      </c>
      <c r="R134">
        <v>-795.76239316239003</v>
      </c>
      <c r="S134">
        <f t="shared" si="4"/>
        <v>0.15555555555555556</v>
      </c>
    </row>
    <row r="135" spans="1:19" x14ac:dyDescent="0.25">
      <c r="A135" s="2">
        <v>41689</v>
      </c>
      <c r="B135">
        <v>19</v>
      </c>
      <c r="C135" t="s">
        <v>33</v>
      </c>
      <c r="D135" s="1">
        <v>2014</v>
      </c>
      <c r="E135" s="1">
        <v>87</v>
      </c>
      <c r="F135" s="1" t="s">
        <v>57</v>
      </c>
      <c r="G135" s="1" t="s">
        <v>31</v>
      </c>
      <c r="H135" s="1" t="s">
        <v>43</v>
      </c>
      <c r="I135" s="1" t="s">
        <v>44</v>
      </c>
      <c r="J135" s="1" t="s">
        <v>23</v>
      </c>
      <c r="K135" s="1" t="s">
        <v>24</v>
      </c>
      <c r="L135" s="1" t="s">
        <v>25</v>
      </c>
      <c r="M135" s="1">
        <v>2</v>
      </c>
      <c r="N135" s="1">
        <v>45</v>
      </c>
      <c r="O135" s="1">
        <v>120</v>
      </c>
      <c r="P135" s="1">
        <v>107</v>
      </c>
      <c r="Q135" s="1">
        <v>90</v>
      </c>
      <c r="R135">
        <v>-867.22222222222001</v>
      </c>
      <c r="S135">
        <f t="shared" si="4"/>
        <v>4.4444444444444446E-2</v>
      </c>
    </row>
    <row r="136" spans="1:19" x14ac:dyDescent="0.25">
      <c r="A136" s="2">
        <v>42419</v>
      </c>
      <c r="B136">
        <v>19</v>
      </c>
      <c r="C136" t="s">
        <v>33</v>
      </c>
      <c r="D136" s="1">
        <v>2016</v>
      </c>
      <c r="E136" s="1">
        <v>87</v>
      </c>
      <c r="F136" s="1" t="s">
        <v>57</v>
      </c>
      <c r="G136" s="1" t="s">
        <v>31</v>
      </c>
      <c r="H136" s="1" t="s">
        <v>43</v>
      </c>
      <c r="I136" s="1" t="s">
        <v>44</v>
      </c>
      <c r="J136" s="1" t="s">
        <v>23</v>
      </c>
      <c r="K136" s="1" t="s">
        <v>24</v>
      </c>
      <c r="L136" s="1" t="s">
        <v>25</v>
      </c>
      <c r="M136" s="1">
        <v>3</v>
      </c>
      <c r="N136" s="1">
        <v>45</v>
      </c>
      <c r="O136" s="1">
        <v>120</v>
      </c>
      <c r="P136" s="1">
        <v>160</v>
      </c>
      <c r="Q136" s="1">
        <v>135</v>
      </c>
      <c r="R136">
        <v>-938.68205128205</v>
      </c>
      <c r="S136">
        <f t="shared" si="4"/>
        <v>6.6666666666666666E-2</v>
      </c>
    </row>
    <row r="137" spans="1:19" x14ac:dyDescent="0.25">
      <c r="A137" s="2">
        <v>41617</v>
      </c>
      <c r="B137">
        <v>9</v>
      </c>
      <c r="C137" t="s">
        <v>41</v>
      </c>
      <c r="D137" s="1">
        <v>2013</v>
      </c>
      <c r="E137" s="1">
        <v>25</v>
      </c>
      <c r="F137" s="1" t="s">
        <v>35</v>
      </c>
      <c r="G137" s="1" t="s">
        <v>31</v>
      </c>
      <c r="H137" s="1" t="s">
        <v>43</v>
      </c>
      <c r="I137" s="1" t="s">
        <v>58</v>
      </c>
      <c r="J137" s="1" t="s">
        <v>23</v>
      </c>
      <c r="K137" s="1" t="s">
        <v>24</v>
      </c>
      <c r="L137" s="1" t="s">
        <v>25</v>
      </c>
      <c r="M137" s="1">
        <v>2</v>
      </c>
      <c r="N137" s="1">
        <v>45</v>
      </c>
      <c r="O137" s="1">
        <v>120</v>
      </c>
      <c r="P137" s="1">
        <v>119</v>
      </c>
      <c r="Q137" s="1">
        <v>90</v>
      </c>
      <c r="R137">
        <v>-1010.14188034188</v>
      </c>
      <c r="S137">
        <f t="shared" si="4"/>
        <v>4.4444444444444446E-2</v>
      </c>
    </row>
    <row r="138" spans="1:19" x14ac:dyDescent="0.25">
      <c r="A138" s="2">
        <v>42347</v>
      </c>
      <c r="B138">
        <v>9</v>
      </c>
      <c r="C138" t="s">
        <v>41</v>
      </c>
      <c r="D138" s="1">
        <v>2015</v>
      </c>
      <c r="E138" s="1">
        <v>25</v>
      </c>
      <c r="F138" s="1" t="s">
        <v>35</v>
      </c>
      <c r="G138" s="1" t="s">
        <v>31</v>
      </c>
      <c r="H138" s="1" t="s">
        <v>43</v>
      </c>
      <c r="I138" s="1" t="s">
        <v>58</v>
      </c>
      <c r="J138" s="1" t="s">
        <v>23</v>
      </c>
      <c r="K138" s="1" t="s">
        <v>24</v>
      </c>
      <c r="L138" s="1" t="s">
        <v>25</v>
      </c>
      <c r="M138" s="1">
        <v>3</v>
      </c>
      <c r="N138" s="1">
        <v>45</v>
      </c>
      <c r="O138" s="1">
        <v>120</v>
      </c>
      <c r="P138" s="1">
        <v>178</v>
      </c>
      <c r="Q138" s="1">
        <v>135</v>
      </c>
      <c r="R138">
        <v>-1081.60170940171</v>
      </c>
      <c r="S138">
        <f t="shared" si="4"/>
        <v>6.6666666666666666E-2</v>
      </c>
    </row>
    <row r="139" spans="1:19" x14ac:dyDescent="0.25">
      <c r="A139" s="2">
        <v>41776</v>
      </c>
      <c r="B139">
        <v>17</v>
      </c>
      <c r="C139" t="s">
        <v>30</v>
      </c>
      <c r="D139" s="1">
        <v>2014</v>
      </c>
      <c r="E139" s="1">
        <v>31</v>
      </c>
      <c r="F139" s="1" t="s">
        <v>35</v>
      </c>
      <c r="G139" s="1" t="s">
        <v>31</v>
      </c>
      <c r="H139" s="1" t="s">
        <v>43</v>
      </c>
      <c r="I139" s="1" t="s">
        <v>59</v>
      </c>
      <c r="J139" s="1" t="s">
        <v>23</v>
      </c>
      <c r="K139" s="1" t="s">
        <v>24</v>
      </c>
      <c r="L139" s="1" t="s">
        <v>25</v>
      </c>
      <c r="M139" s="1">
        <v>3</v>
      </c>
      <c r="N139" s="1">
        <v>45</v>
      </c>
      <c r="O139" s="1">
        <v>120</v>
      </c>
      <c r="P139" s="1">
        <v>200</v>
      </c>
      <c r="Q139" s="1">
        <v>135</v>
      </c>
      <c r="R139">
        <v>-1153.0615384615401</v>
      </c>
      <c r="S139">
        <f t="shared" si="4"/>
        <v>6.6666666666666666E-2</v>
      </c>
    </row>
    <row r="140" spans="1:19" x14ac:dyDescent="0.25">
      <c r="A140" s="2">
        <v>42507</v>
      </c>
      <c r="B140">
        <v>17</v>
      </c>
      <c r="C140" t="s">
        <v>30</v>
      </c>
      <c r="D140" s="1">
        <v>2016</v>
      </c>
      <c r="E140" s="1">
        <v>31</v>
      </c>
      <c r="F140" s="1" t="s">
        <v>35</v>
      </c>
      <c r="G140" s="1" t="s">
        <v>31</v>
      </c>
      <c r="H140" s="1" t="s">
        <v>43</v>
      </c>
      <c r="I140" s="1" t="s">
        <v>59</v>
      </c>
      <c r="J140" s="1" t="s">
        <v>23</v>
      </c>
      <c r="K140" s="1" t="s">
        <v>24</v>
      </c>
      <c r="L140" s="1" t="s">
        <v>25</v>
      </c>
      <c r="M140" s="1">
        <v>2</v>
      </c>
      <c r="N140" s="1">
        <v>45</v>
      </c>
      <c r="O140" s="1">
        <v>120</v>
      </c>
      <c r="P140" s="1">
        <v>133</v>
      </c>
      <c r="Q140" s="1">
        <v>90</v>
      </c>
      <c r="R140">
        <v>-1224.5213675213699</v>
      </c>
      <c r="S140">
        <f t="shared" si="4"/>
        <v>4.4444444444444446E-2</v>
      </c>
    </row>
    <row r="141" spans="1:19" x14ac:dyDescent="0.25">
      <c r="A141" s="2">
        <v>41796</v>
      </c>
      <c r="B141">
        <v>6</v>
      </c>
      <c r="C141" t="s">
        <v>52</v>
      </c>
      <c r="D141" s="1">
        <v>2014</v>
      </c>
      <c r="E141" s="1">
        <v>32</v>
      </c>
      <c r="F141" s="1" t="s">
        <v>35</v>
      </c>
      <c r="G141" s="1" t="s">
        <v>31</v>
      </c>
      <c r="H141" s="1" t="s">
        <v>45</v>
      </c>
      <c r="I141" s="1" t="s">
        <v>60</v>
      </c>
      <c r="J141" s="1" t="s">
        <v>23</v>
      </c>
      <c r="K141" s="1" t="s">
        <v>24</v>
      </c>
      <c r="L141" s="1" t="s">
        <v>25</v>
      </c>
      <c r="M141" s="1">
        <v>5</v>
      </c>
      <c r="N141" s="1">
        <v>45</v>
      </c>
      <c r="O141" s="1">
        <v>120</v>
      </c>
      <c r="P141" s="1">
        <v>309</v>
      </c>
      <c r="Q141" s="1">
        <v>225</v>
      </c>
      <c r="R141">
        <v>-1295.98119658119</v>
      </c>
      <c r="S141">
        <f t="shared" si="4"/>
        <v>0.1111111111111111</v>
      </c>
    </row>
    <row r="142" spans="1:19" x14ac:dyDescent="0.25">
      <c r="A142" s="2">
        <v>42527</v>
      </c>
      <c r="B142">
        <v>6</v>
      </c>
      <c r="C142" t="s">
        <v>52</v>
      </c>
      <c r="D142" s="1">
        <v>2016</v>
      </c>
      <c r="E142" s="1">
        <v>32</v>
      </c>
      <c r="F142" s="1" t="s">
        <v>35</v>
      </c>
      <c r="G142" s="1" t="s">
        <v>31</v>
      </c>
      <c r="H142" s="1" t="s">
        <v>45</v>
      </c>
      <c r="I142" s="1" t="s">
        <v>60</v>
      </c>
      <c r="J142" s="1" t="s">
        <v>23</v>
      </c>
      <c r="K142" s="1" t="s">
        <v>24</v>
      </c>
      <c r="L142" s="1" t="s">
        <v>25</v>
      </c>
      <c r="M142" s="1">
        <v>7</v>
      </c>
      <c r="N142" s="1">
        <v>45</v>
      </c>
      <c r="O142" s="1">
        <v>120</v>
      </c>
      <c r="P142" s="1">
        <v>433</v>
      </c>
      <c r="Q142" s="1">
        <v>315</v>
      </c>
      <c r="R142">
        <v>-1367.4410256410199</v>
      </c>
      <c r="S142">
        <f t="shared" si="4"/>
        <v>0.15555555555555556</v>
      </c>
    </row>
    <row r="143" spans="1:19" x14ac:dyDescent="0.25">
      <c r="A143" s="2">
        <v>41504</v>
      </c>
      <c r="B143">
        <v>18</v>
      </c>
      <c r="C143" t="s">
        <v>36</v>
      </c>
      <c r="D143" s="1">
        <v>2013</v>
      </c>
      <c r="E143" s="1">
        <v>25</v>
      </c>
      <c r="F143" s="1" t="s">
        <v>35</v>
      </c>
      <c r="G143" s="1" t="s">
        <v>20</v>
      </c>
      <c r="H143" s="1" t="s">
        <v>21</v>
      </c>
      <c r="I143" s="1" t="s">
        <v>22</v>
      </c>
      <c r="J143" s="1" t="s">
        <v>23</v>
      </c>
      <c r="K143" s="1" t="s">
        <v>24</v>
      </c>
      <c r="L143" s="1" t="s">
        <v>25</v>
      </c>
      <c r="M143" s="1">
        <v>2</v>
      </c>
      <c r="N143" s="1">
        <v>45</v>
      </c>
      <c r="O143" s="1">
        <v>120</v>
      </c>
      <c r="P143" s="1">
        <v>148</v>
      </c>
      <c r="Q143" s="1">
        <v>90</v>
      </c>
      <c r="R143">
        <v>-1438.90085470085</v>
      </c>
      <c r="S143">
        <f t="shared" si="4"/>
        <v>4.4444444444444446E-2</v>
      </c>
    </row>
    <row r="144" spans="1:19" x14ac:dyDescent="0.25">
      <c r="A144" s="2">
        <v>42234</v>
      </c>
      <c r="B144">
        <v>18</v>
      </c>
      <c r="C144" t="s">
        <v>36</v>
      </c>
      <c r="D144" s="1">
        <v>2015</v>
      </c>
      <c r="E144" s="1">
        <v>25</v>
      </c>
      <c r="F144" s="1" t="s">
        <v>35</v>
      </c>
      <c r="G144" s="1" t="s">
        <v>20</v>
      </c>
      <c r="H144" s="1" t="s">
        <v>21</v>
      </c>
      <c r="I144" s="1" t="s">
        <v>22</v>
      </c>
      <c r="J144" s="1" t="s">
        <v>23</v>
      </c>
      <c r="K144" s="1" t="s">
        <v>24</v>
      </c>
      <c r="L144" s="1" t="s">
        <v>25</v>
      </c>
      <c r="M144" s="1">
        <v>3</v>
      </c>
      <c r="N144" s="1">
        <v>45</v>
      </c>
      <c r="O144" s="1">
        <v>120</v>
      </c>
      <c r="P144" s="1">
        <v>221</v>
      </c>
      <c r="Q144" s="1">
        <v>135</v>
      </c>
      <c r="R144">
        <v>-1510.3606837606801</v>
      </c>
      <c r="S144">
        <f t="shared" si="4"/>
        <v>6.6666666666666666E-2</v>
      </c>
    </row>
    <row r="145" spans="1:19" x14ac:dyDescent="0.25">
      <c r="A145" s="2">
        <v>41537</v>
      </c>
      <c r="B145">
        <v>20</v>
      </c>
      <c r="C145" t="s">
        <v>37</v>
      </c>
      <c r="D145" s="1">
        <v>2013</v>
      </c>
      <c r="E145" s="1">
        <v>26</v>
      </c>
      <c r="F145" s="1" t="s">
        <v>35</v>
      </c>
      <c r="G145" s="1" t="s">
        <v>31</v>
      </c>
      <c r="H145" s="1" t="s">
        <v>39</v>
      </c>
      <c r="I145" s="1" t="s">
        <v>53</v>
      </c>
      <c r="J145" s="1" t="s">
        <v>23</v>
      </c>
      <c r="K145" s="1" t="s">
        <v>24</v>
      </c>
      <c r="L145" s="1" t="s">
        <v>25</v>
      </c>
      <c r="M145" s="1">
        <v>10</v>
      </c>
      <c r="N145" s="1">
        <v>45</v>
      </c>
      <c r="O145" s="1">
        <v>120</v>
      </c>
      <c r="P145" s="1">
        <v>486</v>
      </c>
      <c r="Q145" s="1">
        <v>450</v>
      </c>
      <c r="R145">
        <v>-1581.82051282051</v>
      </c>
      <c r="S145">
        <f t="shared" si="4"/>
        <v>0.22222222222222221</v>
      </c>
    </row>
    <row r="146" spans="1:19" x14ac:dyDescent="0.25">
      <c r="A146" s="2">
        <v>42267</v>
      </c>
      <c r="B146">
        <v>20</v>
      </c>
      <c r="C146" t="s">
        <v>37</v>
      </c>
      <c r="D146" s="1">
        <v>2015</v>
      </c>
      <c r="E146" s="1">
        <v>26</v>
      </c>
      <c r="F146" s="1" t="s">
        <v>35</v>
      </c>
      <c r="G146" s="1" t="s">
        <v>31</v>
      </c>
      <c r="H146" s="1" t="s">
        <v>39</v>
      </c>
      <c r="I146" s="1" t="s">
        <v>53</v>
      </c>
      <c r="J146" s="1" t="s">
        <v>23</v>
      </c>
      <c r="K146" s="1" t="s">
        <v>24</v>
      </c>
      <c r="L146" s="1" t="s">
        <v>25</v>
      </c>
      <c r="M146" s="1">
        <v>9</v>
      </c>
      <c r="N146" s="1">
        <v>45</v>
      </c>
      <c r="O146" s="1">
        <v>120</v>
      </c>
      <c r="P146" s="1">
        <v>437</v>
      </c>
      <c r="Q146" s="1">
        <v>405</v>
      </c>
      <c r="R146">
        <v>-1653.2803418803401</v>
      </c>
      <c r="S146">
        <f t="shared" si="4"/>
        <v>0.2</v>
      </c>
    </row>
    <row r="147" spans="1:19" x14ac:dyDescent="0.25">
      <c r="A147" s="2">
        <v>41637</v>
      </c>
      <c r="B147">
        <v>29</v>
      </c>
      <c r="C147" t="s">
        <v>41</v>
      </c>
      <c r="D147" s="1">
        <v>2013</v>
      </c>
      <c r="E147" s="1">
        <v>26</v>
      </c>
      <c r="F147" s="1" t="s">
        <v>35</v>
      </c>
      <c r="G147" s="1" t="s">
        <v>31</v>
      </c>
      <c r="H147" s="1" t="s">
        <v>39</v>
      </c>
      <c r="I147" s="1" t="s">
        <v>53</v>
      </c>
      <c r="J147" s="1" t="s">
        <v>23</v>
      </c>
      <c r="K147" s="1" t="s">
        <v>24</v>
      </c>
      <c r="L147" s="1" t="s">
        <v>25</v>
      </c>
      <c r="M147" s="1">
        <v>5</v>
      </c>
      <c r="N147" s="1">
        <v>45</v>
      </c>
      <c r="O147" s="1">
        <v>120</v>
      </c>
      <c r="P147" s="1">
        <v>243</v>
      </c>
      <c r="Q147" s="1">
        <v>225</v>
      </c>
      <c r="R147">
        <v>-1724.7401709401699</v>
      </c>
      <c r="S147">
        <f t="shared" si="4"/>
        <v>0.1111111111111111</v>
      </c>
    </row>
    <row r="148" spans="1:19" x14ac:dyDescent="0.25">
      <c r="A148" s="2">
        <v>42367</v>
      </c>
      <c r="B148">
        <v>29</v>
      </c>
      <c r="C148" t="s">
        <v>41</v>
      </c>
      <c r="D148" s="1">
        <v>2015</v>
      </c>
      <c r="E148" s="1">
        <v>26</v>
      </c>
      <c r="F148" s="1" t="s">
        <v>35</v>
      </c>
      <c r="G148" s="1" t="s">
        <v>31</v>
      </c>
      <c r="H148" s="1" t="s">
        <v>39</v>
      </c>
      <c r="I148" s="1" t="s">
        <v>53</v>
      </c>
      <c r="J148" s="1" t="s">
        <v>23</v>
      </c>
      <c r="K148" s="1" t="s">
        <v>24</v>
      </c>
      <c r="L148" s="1" t="s">
        <v>25</v>
      </c>
      <c r="M148" s="1">
        <v>2</v>
      </c>
      <c r="N148" s="1">
        <v>45</v>
      </c>
      <c r="O148" s="1">
        <v>120</v>
      </c>
      <c r="P148" s="1">
        <v>97</v>
      </c>
      <c r="Q148" s="1">
        <v>90</v>
      </c>
      <c r="R148">
        <v>-1796.2</v>
      </c>
      <c r="S148">
        <f t="shared" si="4"/>
        <v>4.4444444444444446E-2</v>
      </c>
    </row>
    <row r="149" spans="1:19" x14ac:dyDescent="0.25">
      <c r="A149" s="2">
        <v>41728</v>
      </c>
      <c r="B149">
        <v>30</v>
      </c>
      <c r="C149" t="s">
        <v>26</v>
      </c>
      <c r="D149" s="1">
        <v>2014</v>
      </c>
      <c r="E149" s="1">
        <v>33</v>
      </c>
      <c r="F149" s="1" t="s">
        <v>35</v>
      </c>
      <c r="G149" s="1" t="s">
        <v>20</v>
      </c>
      <c r="H149" s="1" t="s">
        <v>70</v>
      </c>
      <c r="I149" s="1" t="s">
        <v>48</v>
      </c>
      <c r="J149" t="s">
        <v>23</v>
      </c>
      <c r="K149" s="1" t="s">
        <v>24</v>
      </c>
      <c r="L149" s="1" t="s">
        <v>25</v>
      </c>
      <c r="M149" s="1">
        <v>8</v>
      </c>
      <c r="N149" s="1">
        <v>45</v>
      </c>
      <c r="O149" s="1">
        <v>120</v>
      </c>
      <c r="P149" s="1">
        <v>446</v>
      </c>
      <c r="Q149" s="1">
        <v>360</v>
      </c>
      <c r="R149">
        <v>-1867.6598290598299</v>
      </c>
      <c r="S149">
        <f t="shared" si="4"/>
        <v>0.17777777777777778</v>
      </c>
    </row>
    <row r="150" spans="1:19" x14ac:dyDescent="0.25">
      <c r="G150" s="1"/>
    </row>
    <row r="151" spans="1:19" x14ac:dyDescent="0.25">
      <c r="G151" s="1"/>
    </row>
  </sheetData>
  <mergeCells count="1">
    <mergeCell ref="AG19:AM20"/>
  </mergeCells>
  <dataValidations disablePrompts="1" count="5">
    <dataValidation type="list" allowBlank="1" showInputMessage="1" showErrorMessage="1" sqref="H1:H1048576" xr:uid="{3275FB1B-3732-4528-89D7-88EBA070B8F1}">
      <formula1>"Canada,Australia"</formula1>
    </dataValidation>
    <dataValidation type="list" allowBlank="1" showInputMessage="1" showErrorMessage="1" sqref="G2:G149" xr:uid="{784CC35F-5CDF-4015-BF9D-897F0F767C3F}">
      <formula1>"M,F"</formula1>
    </dataValidation>
    <dataValidation type="list" allowBlank="1" showInputMessage="1" showErrorMessage="1" sqref="J2:J149" xr:uid="{01571DF5-F9A5-4A25-AB65-DBC4F6E627F8}">
      <formula1>"Accessories"</formula1>
    </dataValidation>
    <dataValidation type="list" allowBlank="1" showInputMessage="1" showErrorMessage="1" sqref="K1:K1048576" xr:uid="{4541FCE8-06EF-42B6-8341-495B316F57B4}">
      <formula1>"Bike Racks"</formula1>
    </dataValidation>
    <dataValidation type="whole" allowBlank="1" showInputMessage="1" showErrorMessage="1" sqref="F1:F1048576" xr:uid="{D2C8FC1C-D119-4A03-9A4E-1400E261F684}">
      <formula1>18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2026-06-08T04:47:12Z</dcterms:created>
  <dcterms:modified xsi:type="dcterms:W3CDTF">2026-06-08T07:20:05Z</dcterms:modified>
</cp:coreProperties>
</file>