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6\"/>
    </mc:Choice>
  </mc:AlternateContent>
  <xr:revisionPtr revIDLastSave="0" documentId="13_ncr:1_{EAA81981-907E-4B6D-BE4D-17DD9B7077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A23" i="1"/>
</calcChain>
</file>

<file path=xl/sharedStrings.xml><?xml version="1.0" encoding="utf-8"?>
<sst xmlns="http://schemas.openxmlformats.org/spreadsheetml/2006/main" count="164" uniqueCount="82">
  <si>
    <t>Sample A</t>
  </si>
  <si>
    <t>Sample B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</si>
  <si>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</si>
  <si>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</si>
  <si>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</si>
  <si>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</si>
  <si>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</si>
  <si>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</si>
  <si>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</si>
  <si>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</si>
  <si>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</si>
  <si>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</si>
  <si>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</si>
  <si>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</si>
  <si>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</si>
  <si>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</si>
  <si>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one Sample for Means</t>
  </si>
  <si>
    <t>Sample 1</t>
  </si>
  <si>
    <t>Sample 2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</si>
  <si>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</si>
  <si>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</si>
  <si>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</si>
  <si>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</si>
  <si>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</si>
  <si>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</si>
  <si>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</si>
  <si>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Anova: Single Factor</t>
  </si>
  <si>
    <t>SUMMARY</t>
  </si>
  <si>
    <t>Groups</t>
  </si>
  <si>
    <t>Count</t>
  </si>
  <si>
    <t>Sum</t>
  </si>
  <si>
    <t>Average</t>
  </si>
  <si>
    <t>Column 1</t>
  </si>
  <si>
    <t>Column 2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</si>
  <si>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</si>
  <si>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</si>
  <si>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</si>
  <si>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</si>
  <si>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</si>
  <si>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</si>
  <si>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</si>
  <si>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</si>
  <si>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</si>
  <si>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</si>
  <si>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Student</t>
  </si>
  <si>
    <t>Math</t>
  </si>
  <si>
    <t>Science</t>
  </si>
  <si>
    <t>English</t>
  </si>
  <si>
    <t>S1</t>
  </si>
  <si>
    <t>S2</t>
  </si>
  <si>
    <t>S3</t>
  </si>
  <si>
    <t>S4</t>
  </si>
  <si>
    <t>S5</t>
  </si>
  <si>
    <t>Anova: Two-Factor With Replication</t>
  </si>
  <si>
    <t>Sample</t>
  </si>
  <si>
    <t>Columns</t>
  </si>
  <si>
    <t>Interaction</t>
  </si>
  <si>
    <t>Within</t>
  </si>
  <si>
    <t>Department</t>
  </si>
  <si>
    <t>Shift 1</t>
  </si>
  <si>
    <t>Shift 2</t>
  </si>
  <si>
    <t>Sales</t>
  </si>
  <si>
    <t>HR</t>
  </si>
  <si>
    <t>IT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</si>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</sst>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3" fillId="0" borderId="3" xfId="0" applyFont="1" applyFill="1" applyBorder="1" applyAlignment="1">
      <alignment horizontal="right"/>
    </xf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"/>
  <sheetViews>
    <sheetView tabSelected="1" topLeftCell="A25" workbookViewId="0">
      <selection activeCell="U37" sqref="U37"/>
    </sheetView>
  </sheetViews>
  <sheetFormatPr defaultRowHeight="15" x14ac:dyDescent="0.25"/>
  <cols>
    <col min="13" max="13" width="16.140625" customWidth="1"/>
    <col min="19" max="19" width="15.7109375" customWidth="1"/>
    <col min="24" max="24" width="25.42578125" customWidth="1"/>
  </cols>
  <sheetData>
    <row r="1" spans="1:26" ht="30" x14ac:dyDescent="0.25">
      <c r="A1" s="2" t="s">
        <v>0</v>
      </c>
      <c r="B1" s="2" t="s">
        <v>1</v>
      </c>
    </row>
    <row r="2" spans="1:26" x14ac:dyDescent="0.25">
      <c r="A2" s="1">
        <v>45</v>
      </c>
      <c r="B2" s="1">
        <v>48</v>
      </c>
      <c r="C2">
        <v>0</v>
      </c>
    </row>
    <row r="3" spans="1:26" x14ac:dyDescent="0.25">
      <c r="A3" s="1">
        <v>50</v>
      </c>
      <c r="B3" s="1">
        <v>52</v>
      </c>
      <c r="C3">
        <v>0</v>
      </c>
    </row>
    <row r="4" spans="1:26" x14ac:dyDescent="0.25">
      <c r="A4" s="1">
        <v>48</v>
      </c>
      <c r="B4" s="1">
        <v>49</v>
      </c>
      <c r="C4">
        <v>0</v>
      </c>
    </row>
    <row r="5" spans="1:26" x14ac:dyDescent="0.25">
      <c r="A5" s="1">
        <v>52</v>
      </c>
      <c r="B5" s="1">
        <v>55</v>
      </c>
      <c r="C5">
        <v>0</v>
      </c>
      <c r="K5" t="s">
        <v>2</v>
      </c>
      <c r="Q5" t="s">
        <v>16</v>
      </c>
    </row>
    <row r="6" spans="1:26" ht="15.75" thickBot="1" x14ac:dyDescent="0.3">
      <c r="A6" s="1">
        <v>49</v>
      </c>
      <c r="B6" s="1">
        <v>51</v>
      </c>
      <c r="C6">
        <v>0</v>
      </c>
    </row>
    <row r="7" spans="1:26" x14ac:dyDescent="0.25">
      <c r="A7" s="1">
        <v>51</v>
      </c>
      <c r="B7" s="1">
        <v>54</v>
      </c>
      <c r="C7">
        <v>0</v>
      </c>
      <c r="K7" s="4"/>
      <c r="L7" s="4" t="s">
        <v>3</v>
      </c>
      <c r="M7" s="4" t="s">
        <v>4</v>
      </c>
      <c r="Q7" s="4"/>
      <c r="R7" s="4" t="s">
        <v>3</v>
      </c>
      <c r="S7" s="4" t="s">
        <v>4</v>
      </c>
      <c r="X7" t="s">
        <v>19</v>
      </c>
    </row>
    <row r="8" spans="1:26" ht="15.75" thickBot="1" x14ac:dyDescent="0.3">
      <c r="A8" s="1">
        <v>47</v>
      </c>
      <c r="B8" s="1">
        <v>50</v>
      </c>
      <c r="C8">
        <v>0</v>
      </c>
      <c r="K8" t="s">
        <v>5</v>
      </c>
      <c r="L8">
        <v>49.375</v>
      </c>
      <c r="M8">
        <v>51.875</v>
      </c>
      <c r="Q8" t="s">
        <v>5</v>
      </c>
      <c r="R8">
        <v>49.375</v>
      </c>
      <c r="S8">
        <v>0</v>
      </c>
    </row>
    <row r="9" spans="1:26" x14ac:dyDescent="0.25">
      <c r="A9" s="1">
        <v>53</v>
      </c>
      <c r="B9" s="1">
        <v>56</v>
      </c>
      <c r="C9">
        <v>0</v>
      </c>
      <c r="K9" t="s">
        <v>6</v>
      </c>
      <c r="L9">
        <v>7.125</v>
      </c>
      <c r="M9">
        <v>8.4107142857142865</v>
      </c>
      <c r="Q9" t="s">
        <v>6</v>
      </c>
      <c r="R9">
        <v>7.125</v>
      </c>
      <c r="S9">
        <v>0</v>
      </c>
      <c r="X9" s="4"/>
      <c r="Y9" s="4" t="s">
        <v>3</v>
      </c>
      <c r="Z9" s="4" t="s">
        <v>4</v>
      </c>
    </row>
    <row r="10" spans="1:26" x14ac:dyDescent="0.25">
      <c r="K10" t="s">
        <v>7</v>
      </c>
      <c r="L10">
        <v>8</v>
      </c>
      <c r="M10">
        <v>8</v>
      </c>
      <c r="Q10" t="s">
        <v>7</v>
      </c>
      <c r="R10">
        <v>8</v>
      </c>
      <c r="S10">
        <v>8</v>
      </c>
      <c r="X10" t="s">
        <v>5</v>
      </c>
      <c r="Y10">
        <v>51.875</v>
      </c>
      <c r="Z10">
        <v>49.375</v>
      </c>
    </row>
    <row r="11" spans="1:26" x14ac:dyDescent="0.25">
      <c r="K11" t="s">
        <v>8</v>
      </c>
      <c r="L11">
        <v>0.96653396804875324</v>
      </c>
      <c r="Q11" t="s">
        <v>8</v>
      </c>
      <c r="R11" t="e">
        <v>#DIV/0!</v>
      </c>
      <c r="X11" t="s">
        <v>20</v>
      </c>
      <c r="Y11">
        <v>9.1660000000000004</v>
      </c>
      <c r="Z11">
        <v>4.7759999999999998</v>
      </c>
    </row>
    <row r="12" spans="1:26" x14ac:dyDescent="0.25">
      <c r="A12" s="5" t="s">
        <v>17</v>
      </c>
      <c r="B12" s="5" t="s">
        <v>18</v>
      </c>
      <c r="K12" t="s">
        <v>9</v>
      </c>
      <c r="L12">
        <v>30</v>
      </c>
      <c r="Q12" t="s">
        <v>9</v>
      </c>
      <c r="R12">
        <v>20</v>
      </c>
      <c r="X12" t="s">
        <v>7</v>
      </c>
      <c r="Y12">
        <v>8</v>
      </c>
      <c r="Z12">
        <v>8</v>
      </c>
    </row>
    <row r="13" spans="1:26" x14ac:dyDescent="0.25">
      <c r="A13" s="6">
        <v>45</v>
      </c>
      <c r="B13" s="6">
        <v>50</v>
      </c>
      <c r="K13" t="s">
        <v>10</v>
      </c>
      <c r="L13">
        <v>7</v>
      </c>
      <c r="Q13" t="s">
        <v>10</v>
      </c>
      <c r="R13">
        <v>7</v>
      </c>
      <c r="X13" t="s">
        <v>9</v>
      </c>
      <c r="Y13">
        <v>20</v>
      </c>
    </row>
    <row r="14" spans="1:26" x14ac:dyDescent="0.25">
      <c r="A14" s="6">
        <v>48</v>
      </c>
      <c r="B14" s="6">
        <v>52</v>
      </c>
      <c r="K14" t="s">
        <v>11</v>
      </c>
      <c r="L14">
        <v>-121.60386507015312</v>
      </c>
      <c r="Q14" t="s">
        <v>11</v>
      </c>
      <c r="R14">
        <v>31.126510391028532</v>
      </c>
      <c r="X14" t="s">
        <v>21</v>
      </c>
      <c r="Y14">
        <v>-13.256244417879502</v>
      </c>
    </row>
    <row r="15" spans="1:26" x14ac:dyDescent="0.25">
      <c r="A15" s="6">
        <v>50</v>
      </c>
      <c r="B15" s="6">
        <v>49</v>
      </c>
      <c r="K15" t="s">
        <v>12</v>
      </c>
      <c r="L15">
        <v>3.3533131349744936E-13</v>
      </c>
      <c r="Q15" t="s">
        <v>12</v>
      </c>
      <c r="R15">
        <v>4.5614675882731064E-9</v>
      </c>
      <c r="X15" t="s">
        <v>22</v>
      </c>
      <c r="Y15">
        <v>0</v>
      </c>
    </row>
    <row r="16" spans="1:26" x14ac:dyDescent="0.25">
      <c r="A16" s="6">
        <v>52</v>
      </c>
      <c r="B16" s="6">
        <v>54</v>
      </c>
      <c r="K16" t="s">
        <v>13</v>
      </c>
      <c r="L16">
        <v>1.8945786050900073</v>
      </c>
      <c r="Q16" t="s">
        <v>13</v>
      </c>
      <c r="R16">
        <v>1.8945786050900073</v>
      </c>
      <c r="X16" t="s">
        <v>23</v>
      </c>
      <c r="Y16">
        <v>1.6448536269514715</v>
      </c>
    </row>
    <row r="17" spans="1:26" x14ac:dyDescent="0.25">
      <c r="A17" s="6">
        <v>49</v>
      </c>
      <c r="B17" s="6">
        <v>51</v>
      </c>
      <c r="K17" t="s">
        <v>14</v>
      </c>
      <c r="L17">
        <v>6.7066262699489871E-13</v>
      </c>
      <c r="Q17" t="s">
        <v>14</v>
      </c>
      <c r="R17">
        <v>9.1229351765462128E-9</v>
      </c>
      <c r="X17" t="s">
        <v>24</v>
      </c>
      <c r="Y17">
        <v>0</v>
      </c>
    </row>
    <row r="18" spans="1:26" ht="15.75" thickBot="1" x14ac:dyDescent="0.3">
      <c r="A18" s="6">
        <v>51</v>
      </c>
      <c r="B18" s="6">
        <v>53</v>
      </c>
      <c r="K18" s="3" t="s">
        <v>15</v>
      </c>
      <c r="L18" s="3">
        <v>2.3646242515927849</v>
      </c>
      <c r="M18" s="3"/>
      <c r="Q18" s="3" t="s">
        <v>15</v>
      </c>
      <c r="R18" s="3">
        <v>2.3646242515927849</v>
      </c>
      <c r="S18" s="3"/>
      <c r="X18" s="3" t="s">
        <v>25</v>
      </c>
      <c r="Y18" s="3">
        <v>1.9599639845400536</v>
      </c>
      <c r="Z18" s="3"/>
    </row>
    <row r="19" spans="1:26" x14ac:dyDescent="0.25">
      <c r="A19" s="6">
        <v>47</v>
      </c>
      <c r="B19" s="6">
        <v>50</v>
      </c>
    </row>
    <row r="20" spans="1:26" x14ac:dyDescent="0.25">
      <c r="A20" s="6">
        <v>53</v>
      </c>
      <c r="B20" s="6">
        <v>55</v>
      </c>
    </row>
    <row r="21" spans="1:26" x14ac:dyDescent="0.25">
      <c r="A21" s="6">
        <v>46</v>
      </c>
      <c r="B21" s="6">
        <v>52</v>
      </c>
    </row>
    <row r="22" spans="1:26" x14ac:dyDescent="0.25">
      <c r="A22" s="6">
        <v>54</v>
      </c>
      <c r="B22" s="6">
        <v>56</v>
      </c>
      <c r="K22" t="s">
        <v>26</v>
      </c>
    </row>
    <row r="23" spans="1:26" x14ac:dyDescent="0.25">
      <c r="A23">
        <f>VARA(A13:A22)</f>
        <v>9.1666666666666661</v>
      </c>
      <c r="B23">
        <f>VARPA(B13:B22)</f>
        <v>4.76</v>
      </c>
    </row>
    <row r="24" spans="1:26" ht="15.75" thickBot="1" x14ac:dyDescent="0.3">
      <c r="K24" t="s">
        <v>27</v>
      </c>
    </row>
    <row r="25" spans="1:26" x14ac:dyDescent="0.25">
      <c r="K25" s="4" t="s">
        <v>28</v>
      </c>
      <c r="L25" s="4" t="s">
        <v>29</v>
      </c>
      <c r="M25" s="4" t="s">
        <v>30</v>
      </c>
      <c r="N25" s="4" t="s">
        <v>31</v>
      </c>
      <c r="O25" s="4" t="s">
        <v>6</v>
      </c>
    </row>
    <row r="26" spans="1:26" x14ac:dyDescent="0.25">
      <c r="K26" t="s">
        <v>32</v>
      </c>
      <c r="L26">
        <v>8</v>
      </c>
      <c r="M26">
        <v>395</v>
      </c>
      <c r="N26">
        <v>49.375</v>
      </c>
      <c r="O26">
        <v>7.125</v>
      </c>
      <c r="V26" t="s">
        <v>67</v>
      </c>
    </row>
    <row r="27" spans="1:26" ht="15.75" thickBot="1" x14ac:dyDescent="0.3">
      <c r="K27" s="3" t="s">
        <v>33</v>
      </c>
      <c r="L27" s="3">
        <v>8</v>
      </c>
      <c r="M27" s="3">
        <v>415</v>
      </c>
      <c r="N27" s="3">
        <v>51.875</v>
      </c>
      <c r="O27" s="3">
        <v>8.4107142857142865</v>
      </c>
    </row>
    <row r="28" spans="1:26" x14ac:dyDescent="0.25">
      <c r="V28" s="11" t="s">
        <v>68</v>
      </c>
      <c r="W28" s="11"/>
    </row>
    <row r="29" spans="1:26" x14ac:dyDescent="0.25">
      <c r="V29" s="7" t="s">
        <v>69</v>
      </c>
      <c r="W29" s="7">
        <v>0.9999145876332618</v>
      </c>
    </row>
    <row r="30" spans="1:26" ht="15.75" thickBot="1" x14ac:dyDescent="0.3">
      <c r="K30" t="s">
        <v>34</v>
      </c>
      <c r="V30" s="7" t="s">
        <v>70</v>
      </c>
      <c r="W30" s="7">
        <v>0.99982918256179598</v>
      </c>
    </row>
    <row r="31" spans="1:26" x14ac:dyDescent="0.25">
      <c r="K31" s="4" t="s">
        <v>35</v>
      </c>
      <c r="L31" s="4" t="s">
        <v>36</v>
      </c>
      <c r="M31" s="4" t="s">
        <v>10</v>
      </c>
      <c r="N31" s="4" t="s">
        <v>37</v>
      </c>
      <c r="O31" s="4" t="s">
        <v>38</v>
      </c>
      <c r="P31" s="4" t="s">
        <v>39</v>
      </c>
      <c r="Q31" s="4" t="s">
        <v>40</v>
      </c>
      <c r="V31" s="7" t="s">
        <v>71</v>
      </c>
      <c r="W31" s="7">
        <v>0.83316251589512935</v>
      </c>
    </row>
    <row r="32" spans="1:26" x14ac:dyDescent="0.25">
      <c r="K32" t="s">
        <v>41</v>
      </c>
      <c r="L32">
        <v>25</v>
      </c>
      <c r="M32">
        <v>1</v>
      </c>
      <c r="N32">
        <v>25</v>
      </c>
      <c r="O32">
        <v>3.2183908045977008</v>
      </c>
      <c r="P32">
        <v>9.4433950689152793E-2</v>
      </c>
      <c r="Q32">
        <v>4.6001099366694227</v>
      </c>
      <c r="V32" s="7" t="s">
        <v>72</v>
      </c>
      <c r="W32" s="7">
        <v>0.70640970841261919</v>
      </c>
    </row>
    <row r="33" spans="1:30" ht="15.75" thickBot="1" x14ac:dyDescent="0.3">
      <c r="K33" t="s">
        <v>42</v>
      </c>
      <c r="L33">
        <v>108.75</v>
      </c>
      <c r="M33">
        <v>14</v>
      </c>
      <c r="N33">
        <v>7.7678571428571432</v>
      </c>
      <c r="V33" s="9" t="s">
        <v>7</v>
      </c>
      <c r="W33" s="9">
        <v>7</v>
      </c>
    </row>
    <row r="35" spans="1:30" ht="15.75" thickBot="1" x14ac:dyDescent="0.3">
      <c r="K35" s="3" t="s">
        <v>43</v>
      </c>
      <c r="L35" s="3">
        <v>133.75</v>
      </c>
      <c r="M35" s="3">
        <v>15</v>
      </c>
      <c r="N35" s="3"/>
      <c r="O35" s="3"/>
      <c r="P35" s="3"/>
      <c r="Q35" s="3"/>
      <c r="V35" t="s">
        <v>34</v>
      </c>
    </row>
    <row r="36" spans="1:30" x14ac:dyDescent="0.25">
      <c r="V36" s="10"/>
      <c r="W36" s="10" t="s">
        <v>10</v>
      </c>
      <c r="X36" s="10" t="s">
        <v>36</v>
      </c>
      <c r="Y36" s="10" t="s">
        <v>37</v>
      </c>
      <c r="Z36" s="10" t="s">
        <v>38</v>
      </c>
      <c r="AA36" s="10" t="s">
        <v>76</v>
      </c>
    </row>
    <row r="37" spans="1:30" x14ac:dyDescent="0.25">
      <c r="V37" s="7" t="s">
        <v>73</v>
      </c>
      <c r="W37" s="7">
        <v>1</v>
      </c>
      <c r="X37" s="7">
        <v>17525.005911943161</v>
      </c>
      <c r="Y37" s="7">
        <v>17525.005911943161</v>
      </c>
      <c r="Z37" s="7">
        <v>35119.219433619335</v>
      </c>
      <c r="AA37" s="7">
        <v>8.209358816625542E-11</v>
      </c>
    </row>
    <row r="38" spans="1:30" x14ac:dyDescent="0.25">
      <c r="V38" s="7" t="s">
        <v>74</v>
      </c>
      <c r="W38" s="7">
        <v>6</v>
      </c>
      <c r="X38" s="7">
        <v>2.9940880568376103</v>
      </c>
      <c r="Y38" s="7">
        <v>0.49901467613960171</v>
      </c>
      <c r="Z38" s="7"/>
      <c r="AA38" s="7"/>
    </row>
    <row r="39" spans="1:30" ht="30.75" thickBot="1" x14ac:dyDescent="0.3">
      <c r="A39" s="5" t="s">
        <v>58</v>
      </c>
      <c r="B39" s="2" t="s">
        <v>59</v>
      </c>
      <c r="C39" s="2" t="s">
        <v>60</v>
      </c>
      <c r="D39" s="2"/>
      <c r="V39" s="9" t="s">
        <v>43</v>
      </c>
      <c r="W39" s="9">
        <v>7</v>
      </c>
      <c r="X39" s="9">
        <v>17528</v>
      </c>
      <c r="Y39" s="9"/>
      <c r="Z39" s="9"/>
      <c r="AA39" s="9"/>
    </row>
    <row r="40" spans="1:30" ht="15.75" thickBot="1" x14ac:dyDescent="0.3">
      <c r="A40" s="6" t="s">
        <v>61</v>
      </c>
      <c r="B40" s="1">
        <v>80</v>
      </c>
      <c r="C40" s="1">
        <v>85</v>
      </c>
      <c r="D40" s="1"/>
    </row>
    <row r="41" spans="1:30" x14ac:dyDescent="0.25">
      <c r="A41" s="6" t="s">
        <v>61</v>
      </c>
      <c r="B41" s="1">
        <v>82</v>
      </c>
      <c r="C41" s="1">
        <v>87</v>
      </c>
      <c r="D41" s="1"/>
      <c r="G41" t="s">
        <v>53</v>
      </c>
      <c r="V41" s="10"/>
      <c r="W41" s="10" t="s">
        <v>77</v>
      </c>
      <c r="X41" s="10" t="s">
        <v>72</v>
      </c>
      <c r="Y41" s="10" t="s">
        <v>11</v>
      </c>
      <c r="Z41" s="10" t="s">
        <v>39</v>
      </c>
      <c r="AA41" s="10" t="s">
        <v>78</v>
      </c>
      <c r="AB41" s="10" t="s">
        <v>79</v>
      </c>
      <c r="AC41" s="10" t="s">
        <v>80</v>
      </c>
      <c r="AD41" s="10" t="s">
        <v>81</v>
      </c>
    </row>
    <row r="42" spans="1:30" x14ac:dyDescent="0.25">
      <c r="A42" s="6" t="s">
        <v>61</v>
      </c>
      <c r="B42" s="1">
        <v>81</v>
      </c>
      <c r="C42" s="1">
        <v>86</v>
      </c>
      <c r="D42" s="1"/>
      <c r="V42" s="7" t="s">
        <v>75</v>
      </c>
      <c r="W42" s="7">
        <v>0</v>
      </c>
      <c r="X42" s="7" t="e">
        <v>#N/A</v>
      </c>
      <c r="Y42" s="7" t="e">
        <v>#N/A</v>
      </c>
      <c r="Z42" s="7" t="e">
        <v>#N/A</v>
      </c>
      <c r="AA42" s="7" t="e">
        <v>#N/A</v>
      </c>
      <c r="AB42" s="7" t="e">
        <v>#N/A</v>
      </c>
      <c r="AC42" s="7" t="e">
        <v>#N/A</v>
      </c>
      <c r="AD42" s="7" t="e">
        <v>#N/A</v>
      </c>
    </row>
    <row r="43" spans="1:30" ht="15.75" thickBot="1" x14ac:dyDescent="0.3">
      <c r="A43" s="6" t="s">
        <v>62</v>
      </c>
      <c r="B43" s="1">
        <v>75</v>
      </c>
      <c r="C43" s="1">
        <v>80</v>
      </c>
      <c r="D43" s="1"/>
      <c r="G43" t="s">
        <v>27</v>
      </c>
      <c r="H43" t="s">
        <v>59</v>
      </c>
      <c r="I43" t="s">
        <v>60</v>
      </c>
      <c r="J43" t="s">
        <v>43</v>
      </c>
      <c r="V43" s="9">
        <v>48</v>
      </c>
      <c r="W43" s="9">
        <v>0.95332676450759712</v>
      </c>
      <c r="X43" s="9">
        <v>5.0870892674635621E-3</v>
      </c>
      <c r="Y43" s="9">
        <v>187.40122580607451</v>
      </c>
      <c r="Z43" s="9">
        <v>1.5576664147906619E-12</v>
      </c>
      <c r="AA43" s="9">
        <v>0.94087910549120812</v>
      </c>
      <c r="AB43" s="9">
        <v>0.96577442352398613</v>
      </c>
      <c r="AC43" s="9">
        <v>0.94087910549120812</v>
      </c>
      <c r="AD43" s="9">
        <v>0.96577442352398613</v>
      </c>
    </row>
    <row r="44" spans="1:30" ht="15.75" thickBot="1" x14ac:dyDescent="0.3">
      <c r="A44" s="6" t="s">
        <v>62</v>
      </c>
      <c r="B44" s="1">
        <v>77</v>
      </c>
      <c r="C44" s="1">
        <v>82</v>
      </c>
      <c r="D44" s="1"/>
      <c r="G44" s="8" t="s">
        <v>61</v>
      </c>
      <c r="H44" s="8"/>
      <c r="I44" s="8"/>
      <c r="J44" s="8"/>
    </row>
    <row r="45" spans="1:30" x14ac:dyDescent="0.25">
      <c r="A45" s="6" t="s">
        <v>62</v>
      </c>
      <c r="B45" s="1">
        <v>76</v>
      </c>
      <c r="C45" s="1">
        <v>81</v>
      </c>
      <c r="G45" s="7" t="s">
        <v>29</v>
      </c>
      <c r="H45" s="7">
        <v>9</v>
      </c>
      <c r="I45" s="7">
        <v>9</v>
      </c>
      <c r="J45" s="7">
        <v>18</v>
      </c>
    </row>
    <row r="46" spans="1:30" x14ac:dyDescent="0.25">
      <c r="A46" s="6" t="s">
        <v>63</v>
      </c>
      <c r="B46" s="1">
        <v>90</v>
      </c>
      <c r="C46" s="1">
        <v>94</v>
      </c>
      <c r="G46" s="7" t="s">
        <v>30</v>
      </c>
      <c r="H46" s="7">
        <v>741</v>
      </c>
      <c r="I46" s="7">
        <v>783</v>
      </c>
      <c r="J46" s="7">
        <v>1524</v>
      </c>
    </row>
    <row r="47" spans="1:30" x14ac:dyDescent="0.25">
      <c r="A47" s="6" t="s">
        <v>63</v>
      </c>
      <c r="B47" s="1">
        <v>91</v>
      </c>
      <c r="C47" s="1">
        <v>95</v>
      </c>
      <c r="G47" s="7" t="s">
        <v>31</v>
      </c>
      <c r="H47" s="7">
        <v>82.333333333333329</v>
      </c>
      <c r="I47" s="7">
        <v>87</v>
      </c>
      <c r="J47" s="7">
        <v>84.666666666666671</v>
      </c>
    </row>
    <row r="48" spans="1:30" x14ac:dyDescent="0.25">
      <c r="A48" s="6" t="s">
        <v>63</v>
      </c>
      <c r="B48" s="1">
        <v>89</v>
      </c>
      <c r="C48" s="1">
        <v>93</v>
      </c>
      <c r="G48" s="7" t="s">
        <v>6</v>
      </c>
      <c r="H48" s="7">
        <v>38.500000000000007</v>
      </c>
      <c r="I48" s="7">
        <v>33</v>
      </c>
      <c r="J48" s="7">
        <v>39.411764705882348</v>
      </c>
    </row>
    <row r="49" spans="7:13" x14ac:dyDescent="0.25">
      <c r="G49" s="7"/>
      <c r="H49" s="7"/>
      <c r="I49" s="7"/>
      <c r="J49" s="7"/>
    </row>
    <row r="50" spans="7:13" ht="15.75" thickBot="1" x14ac:dyDescent="0.3">
      <c r="G50" s="8" t="s">
        <v>43</v>
      </c>
      <c r="H50" s="8"/>
      <c r="I50" s="8"/>
    </row>
    <row r="51" spans="7:13" x14ac:dyDescent="0.25">
      <c r="G51" s="7" t="s">
        <v>29</v>
      </c>
      <c r="H51" s="7">
        <v>9</v>
      </c>
      <c r="I51" s="7">
        <v>9</v>
      </c>
    </row>
    <row r="52" spans="7:13" x14ac:dyDescent="0.25">
      <c r="G52" s="7" t="s">
        <v>30</v>
      </c>
      <c r="H52" s="7">
        <v>741</v>
      </c>
      <c r="I52" s="7">
        <v>783</v>
      </c>
    </row>
    <row r="53" spans="7:13" x14ac:dyDescent="0.25">
      <c r="G53" s="7" t="s">
        <v>31</v>
      </c>
      <c r="H53" s="7">
        <v>82.333333333333329</v>
      </c>
      <c r="I53" s="7">
        <v>87</v>
      </c>
    </row>
    <row r="54" spans="7:13" x14ac:dyDescent="0.25">
      <c r="G54" s="7" t="s">
        <v>6</v>
      </c>
      <c r="H54" s="7">
        <v>38.500000000000007</v>
      </c>
      <c r="I54" s="7">
        <v>33</v>
      </c>
    </row>
    <row r="55" spans="7:13" x14ac:dyDescent="0.25">
      <c r="G55" s="7"/>
      <c r="H55" s="7"/>
      <c r="I55" s="7"/>
    </row>
    <row r="57" spans="7:13" ht="15.75" thickBot="1" x14ac:dyDescent="0.3">
      <c r="G57" t="s">
        <v>34</v>
      </c>
    </row>
    <row r="58" spans="7:13" x14ac:dyDescent="0.25">
      <c r="G58" s="10" t="s">
        <v>35</v>
      </c>
      <c r="H58" s="10" t="s">
        <v>36</v>
      </c>
      <c r="I58" s="10" t="s">
        <v>10</v>
      </c>
      <c r="J58" s="10" t="s">
        <v>37</v>
      </c>
      <c r="K58" s="10" t="s">
        <v>38</v>
      </c>
      <c r="L58" s="10" t="s">
        <v>39</v>
      </c>
      <c r="M58" s="10" t="s">
        <v>40</v>
      </c>
    </row>
    <row r="59" spans="7:13" x14ac:dyDescent="0.25">
      <c r="G59" s="7" t="s">
        <v>54</v>
      </c>
      <c r="H59" s="7">
        <v>0</v>
      </c>
      <c r="I59" s="7">
        <v>0</v>
      </c>
      <c r="J59" s="7">
        <v>65535</v>
      </c>
      <c r="K59" s="7">
        <v>65535</v>
      </c>
      <c r="L59" s="7" t="e">
        <v>#NUM!</v>
      </c>
      <c r="M59" s="7" t="e">
        <v>#NUM!</v>
      </c>
    </row>
    <row r="60" spans="7:13" x14ac:dyDescent="0.25">
      <c r="G60" s="7" t="s">
        <v>55</v>
      </c>
      <c r="H60" s="7">
        <v>97.999999999999886</v>
      </c>
      <c r="I60" s="7">
        <v>1</v>
      </c>
      <c r="J60" s="7">
        <v>97.999999999999886</v>
      </c>
      <c r="K60" s="7">
        <v>2.7412587412587381</v>
      </c>
      <c r="L60" s="7">
        <v>0.11726599249976269</v>
      </c>
      <c r="M60" s="7">
        <v>4.4939984776663584</v>
      </c>
    </row>
    <row r="61" spans="7:13" x14ac:dyDescent="0.25">
      <c r="G61" s="7" t="s">
        <v>56</v>
      </c>
      <c r="H61" s="7">
        <v>0</v>
      </c>
      <c r="I61" s="7">
        <v>0</v>
      </c>
      <c r="J61" s="7">
        <v>65535</v>
      </c>
      <c r="K61" s="7">
        <v>65535</v>
      </c>
      <c r="L61" s="7" t="e">
        <v>#NUM!</v>
      </c>
      <c r="M61" s="7" t="e">
        <v>#NUM!</v>
      </c>
    </row>
    <row r="62" spans="7:13" x14ac:dyDescent="0.25">
      <c r="G62" s="7" t="s">
        <v>57</v>
      </c>
      <c r="H62" s="7">
        <v>572</v>
      </c>
      <c r="I62" s="7">
        <v>16</v>
      </c>
      <c r="J62" s="7">
        <v>35.75</v>
      </c>
      <c r="K62" s="7"/>
      <c r="L62" s="7"/>
      <c r="M62" s="7"/>
    </row>
    <row r="63" spans="7:13" x14ac:dyDescent="0.25">
      <c r="G63" s="7"/>
      <c r="H63" s="7"/>
      <c r="I63" s="7"/>
      <c r="J63" s="7"/>
      <c r="K63" s="7"/>
      <c r="L63" s="7"/>
      <c r="M63" s="7"/>
    </row>
    <row r="64" spans="7:13" ht="15.75" thickBot="1" x14ac:dyDescent="0.3">
      <c r="G64" s="9" t="s">
        <v>43</v>
      </c>
      <c r="H64" s="9">
        <v>669.99999999999989</v>
      </c>
      <c r="I64" s="9">
        <v>17</v>
      </c>
      <c r="J64" s="9"/>
      <c r="K64" s="9"/>
      <c r="L64" s="9"/>
      <c r="M64" s="9"/>
    </row>
    <row r="69" spans="1:11" x14ac:dyDescent="0.25">
      <c r="A69" s="5" t="s">
        <v>44</v>
      </c>
      <c r="B69" s="2" t="s">
        <v>45</v>
      </c>
      <c r="C69" s="2" t="s">
        <v>46</v>
      </c>
      <c r="D69" s="2" t="s">
        <v>47</v>
      </c>
      <c r="G69" t="s">
        <v>64</v>
      </c>
    </row>
    <row r="70" spans="1:11" ht="15.75" thickBot="1" x14ac:dyDescent="0.3">
      <c r="A70" s="6" t="s">
        <v>48</v>
      </c>
      <c r="B70" s="1">
        <v>78</v>
      </c>
      <c r="C70" s="1">
        <v>82</v>
      </c>
      <c r="D70" s="1">
        <v>80</v>
      </c>
    </row>
    <row r="71" spans="1:11" x14ac:dyDescent="0.25">
      <c r="A71" s="6" t="s">
        <v>49</v>
      </c>
      <c r="B71" s="1">
        <v>85</v>
      </c>
      <c r="C71" s="1">
        <v>88</v>
      </c>
      <c r="D71" s="1">
        <v>87</v>
      </c>
      <c r="G71" s="10" t="s">
        <v>27</v>
      </c>
      <c r="H71" s="10" t="s">
        <v>29</v>
      </c>
      <c r="I71" s="10" t="s">
        <v>30</v>
      </c>
      <c r="J71" s="10" t="s">
        <v>31</v>
      </c>
      <c r="K71" s="10" t="s">
        <v>6</v>
      </c>
    </row>
    <row r="72" spans="1:11" x14ac:dyDescent="0.25">
      <c r="A72" s="6" t="s">
        <v>50</v>
      </c>
      <c r="B72" s="1">
        <v>90</v>
      </c>
      <c r="C72" s="1">
        <v>92</v>
      </c>
      <c r="D72" s="1">
        <v>91</v>
      </c>
      <c r="G72" s="7" t="s">
        <v>48</v>
      </c>
      <c r="H72" s="7">
        <v>3</v>
      </c>
      <c r="I72" s="7">
        <v>240</v>
      </c>
      <c r="J72" s="7">
        <v>80</v>
      </c>
      <c r="K72" s="7">
        <v>4</v>
      </c>
    </row>
    <row r="73" spans="1:11" x14ac:dyDescent="0.25">
      <c r="A73" s="6" t="s">
        <v>51</v>
      </c>
      <c r="B73" s="1">
        <v>84</v>
      </c>
      <c r="C73" s="1">
        <v>86</v>
      </c>
      <c r="D73" s="1">
        <v>85</v>
      </c>
      <c r="G73" s="7" t="s">
        <v>49</v>
      </c>
      <c r="H73" s="7">
        <v>3</v>
      </c>
      <c r="I73" s="7">
        <v>260</v>
      </c>
      <c r="J73" s="7">
        <v>86.666666666666671</v>
      </c>
      <c r="K73" s="7">
        <v>2.3333333333333335</v>
      </c>
    </row>
    <row r="74" spans="1:11" x14ac:dyDescent="0.25">
      <c r="A74" s="6" t="s">
        <v>52</v>
      </c>
      <c r="B74" s="1">
        <v>88</v>
      </c>
      <c r="C74" s="1">
        <v>90</v>
      </c>
      <c r="D74" s="1">
        <v>89</v>
      </c>
      <c r="G74" s="7" t="s">
        <v>50</v>
      </c>
      <c r="H74" s="7">
        <v>3</v>
      </c>
      <c r="I74" s="7">
        <v>273</v>
      </c>
      <c r="J74" s="7">
        <v>91</v>
      </c>
      <c r="K74" s="7">
        <v>1</v>
      </c>
    </row>
    <row r="75" spans="1:11" x14ac:dyDescent="0.25">
      <c r="G75" s="7" t="s">
        <v>51</v>
      </c>
      <c r="H75" s="7">
        <v>3</v>
      </c>
      <c r="I75" s="7">
        <v>255</v>
      </c>
      <c r="J75" s="7">
        <v>85</v>
      </c>
      <c r="K75" s="7">
        <v>1</v>
      </c>
    </row>
    <row r="76" spans="1:11" x14ac:dyDescent="0.25">
      <c r="G76" s="7" t="s">
        <v>52</v>
      </c>
      <c r="H76" s="7">
        <v>3</v>
      </c>
      <c r="I76" s="7">
        <v>267</v>
      </c>
      <c r="J76" s="7">
        <v>89</v>
      </c>
      <c r="K76" s="7">
        <v>1</v>
      </c>
    </row>
    <row r="77" spans="1:11" x14ac:dyDescent="0.25">
      <c r="G77" s="7"/>
      <c r="H77" s="7"/>
      <c r="I77" s="7"/>
      <c r="J77" s="7"/>
      <c r="K77" s="7"/>
    </row>
    <row r="78" spans="1:11" x14ac:dyDescent="0.25">
      <c r="G78" s="7" t="s">
        <v>45</v>
      </c>
      <c r="H78" s="7">
        <v>5</v>
      </c>
      <c r="I78" s="7">
        <v>425</v>
      </c>
      <c r="J78" s="7">
        <v>85</v>
      </c>
      <c r="K78" s="7">
        <v>21</v>
      </c>
    </row>
    <row r="79" spans="1:11" x14ac:dyDescent="0.25">
      <c r="G79" s="7" t="s">
        <v>46</v>
      </c>
      <c r="H79" s="7">
        <v>5</v>
      </c>
      <c r="I79" s="7">
        <v>438</v>
      </c>
      <c r="J79" s="7">
        <v>87.6</v>
      </c>
      <c r="K79" s="7">
        <v>14.799999999999999</v>
      </c>
    </row>
    <row r="80" spans="1:11" ht="15.75" thickBot="1" x14ac:dyDescent="0.3">
      <c r="G80" s="9" t="s">
        <v>47</v>
      </c>
      <c r="H80" s="9">
        <v>5</v>
      </c>
      <c r="I80" s="9">
        <v>432</v>
      </c>
      <c r="J80" s="9">
        <v>86.4</v>
      </c>
      <c r="K80" s="9">
        <v>17.8</v>
      </c>
    </row>
    <row r="83" spans="7:13" ht="15.75" thickBot="1" x14ac:dyDescent="0.3">
      <c r="G83" t="s">
        <v>34</v>
      </c>
    </row>
    <row r="84" spans="7:13" x14ac:dyDescent="0.25">
      <c r="G84" s="10" t="s">
        <v>35</v>
      </c>
      <c r="H84" s="10" t="s">
        <v>36</v>
      </c>
      <c r="I84" s="10" t="s">
        <v>10</v>
      </c>
      <c r="J84" s="10" t="s">
        <v>37</v>
      </c>
      <c r="K84" s="10" t="s">
        <v>38</v>
      </c>
      <c r="L84" s="10" t="s">
        <v>39</v>
      </c>
      <c r="M84" s="10" t="s">
        <v>40</v>
      </c>
    </row>
    <row r="85" spans="7:13" x14ac:dyDescent="0.25">
      <c r="G85" s="7" t="s">
        <v>65</v>
      </c>
      <c r="H85" s="7">
        <v>212.66666666666677</v>
      </c>
      <c r="I85" s="7">
        <v>4</v>
      </c>
      <c r="J85" s="7">
        <v>53.166666666666693</v>
      </c>
      <c r="K85" s="7">
        <v>245.38461538463346</v>
      </c>
      <c r="L85" s="7">
        <v>2.1221752408233071E-8</v>
      </c>
      <c r="M85" s="7">
        <v>3.8378533545558975</v>
      </c>
    </row>
    <row r="86" spans="7:13" x14ac:dyDescent="0.25">
      <c r="G86" s="7" t="s">
        <v>55</v>
      </c>
      <c r="H86" s="7">
        <v>16.933333333333451</v>
      </c>
      <c r="I86" s="7">
        <v>2</v>
      </c>
      <c r="J86" s="7">
        <v>8.4666666666667254</v>
      </c>
      <c r="K86" s="7">
        <v>39.076923076926207</v>
      </c>
      <c r="L86" s="7">
        <v>7.4346626405642779E-5</v>
      </c>
      <c r="M86" s="7">
        <v>4.4589701075245118</v>
      </c>
    </row>
    <row r="87" spans="7:13" x14ac:dyDescent="0.25">
      <c r="G87" s="7" t="s">
        <v>66</v>
      </c>
      <c r="H87" s="7">
        <v>1.7333333333332064</v>
      </c>
      <c r="I87" s="7">
        <v>8</v>
      </c>
      <c r="J87" s="7">
        <v>0.2166666666666508</v>
      </c>
      <c r="K87" s="7"/>
      <c r="L87" s="7"/>
      <c r="M87" s="7"/>
    </row>
    <row r="88" spans="7:13" x14ac:dyDescent="0.25">
      <c r="G88" s="7"/>
      <c r="H88" s="7"/>
      <c r="I88" s="7"/>
      <c r="J88" s="7"/>
      <c r="K88" s="7"/>
      <c r="L88" s="7"/>
      <c r="M88" s="7"/>
    </row>
    <row r="89" spans="7:13" ht="15.75" thickBot="1" x14ac:dyDescent="0.3">
      <c r="G89" s="9" t="s">
        <v>43</v>
      </c>
      <c r="H89" s="9">
        <v>231.33333333333343</v>
      </c>
      <c r="I89" s="9">
        <v>14</v>
      </c>
      <c r="J89" s="9"/>
      <c r="K89" s="9"/>
      <c r="L89" s="9"/>
      <c r="M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2026-07-01T03:59:33Z</dcterms:modified>
</cp:coreProperties>
</file>