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C59300C6-5A9E-4633-B1D2-B23902B1A557}" xr6:coauthVersionLast="47" xr6:coauthVersionMax="47" xr10:uidLastSave="{00000000-0000-0000-0000-000000000000}"/>
  <bookViews>
    <workbookView xWindow="-120" yWindow="-120" windowWidth="29040" windowHeight="15720" xr2:uid="{7EF4B129-F964-4556-82E9-74E6C5412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L34" i="1"/>
  <c r="K34" i="1"/>
  <c r="J34" i="1"/>
  <c r="H33" i="1"/>
  <c r="J16" i="1"/>
  <c r="L33" i="1"/>
  <c r="K33" i="1"/>
  <c r="J33" i="1"/>
  <c r="H32" i="1"/>
  <c r="I33" i="1"/>
  <c r="I32" i="1"/>
  <c r="L32" i="1"/>
  <c r="L29" i="1"/>
  <c r="L28" i="1"/>
  <c r="L30" i="1"/>
  <c r="L31" i="1"/>
  <c r="K31" i="1"/>
  <c r="K30" i="1"/>
  <c r="K28" i="1"/>
  <c r="K29" i="1"/>
  <c r="I31" i="1"/>
  <c r="I30" i="1"/>
  <c r="J30" i="1" s="1"/>
  <c r="I29" i="1"/>
  <c r="I28" i="1"/>
  <c r="J28" i="1" s="1"/>
  <c r="G36" i="1"/>
  <c r="H31" i="1"/>
  <c r="J31" i="1" s="1"/>
  <c r="H30" i="1"/>
  <c r="H29" i="1"/>
  <c r="H28" i="1"/>
  <c r="G37" i="1"/>
  <c r="M13" i="1"/>
  <c r="G22" i="1"/>
  <c r="G21" i="1"/>
  <c r="G20" i="1"/>
  <c r="C9" i="1"/>
  <c r="G18" i="1"/>
  <c r="H13" i="1" s="1"/>
  <c r="G19" i="1"/>
  <c r="I9" i="1" s="1"/>
  <c r="C14" i="1"/>
  <c r="C13" i="1"/>
  <c r="C12" i="1"/>
  <c r="C11" i="1"/>
  <c r="C10" i="1"/>
  <c r="J32" i="1" l="1"/>
  <c r="K32" i="1"/>
  <c r="J29" i="1"/>
  <c r="H9" i="1"/>
  <c r="J9" i="1" s="1"/>
  <c r="H10" i="1"/>
  <c r="H11" i="1"/>
  <c r="H12" i="1"/>
  <c r="I13" i="1"/>
  <c r="J13" i="1" s="1"/>
  <c r="I12" i="1"/>
  <c r="J12" i="1" s="1"/>
  <c r="I11" i="1"/>
  <c r="J11" i="1" s="1"/>
  <c r="I10" i="1"/>
  <c r="J10" i="1" s="1"/>
</calcChain>
</file>

<file path=xl/sharedStrings.xml><?xml version="1.0" encoding="utf-8"?>
<sst xmlns="http://schemas.openxmlformats.org/spreadsheetml/2006/main" count="37" uniqueCount="29">
  <si>
    <t>B (Mean λ)</t>
  </si>
  <si>
    <t>A (x)</t>
  </si>
  <si>
    <t>C (Formula)</t>
  </si>
  <si>
    <t>D (Probability)</t>
  </si>
  <si>
    <t xml:space="preserve">poisson distribution </t>
  </si>
  <si>
    <t>X</t>
  </si>
  <si>
    <t>Y</t>
  </si>
  <si>
    <t>correlation</t>
  </si>
  <si>
    <t>X_Mean</t>
  </si>
  <si>
    <t>Y_Mean</t>
  </si>
  <si>
    <t>(X-X_Mean)</t>
  </si>
  <si>
    <t>correleation</t>
  </si>
  <si>
    <t>covariance</t>
  </si>
  <si>
    <t>(Y-Y_Mean)</t>
  </si>
  <si>
    <t>(X-X mean)*(Y-Ymean)</t>
  </si>
  <si>
    <t>co-variance</t>
  </si>
  <si>
    <t>COVARIANCE &amp; CORRELATIONS</t>
  </si>
  <si>
    <t>BINOMINAL DISTRIBUSTION</t>
  </si>
  <si>
    <t>VAEIABLE</t>
  </si>
  <si>
    <t>VALUES</t>
  </si>
  <si>
    <t>RESULTS</t>
  </si>
  <si>
    <t>UNIFORM</t>
  </si>
  <si>
    <t>DAY</t>
  </si>
  <si>
    <t>Stock1</t>
  </si>
  <si>
    <t>Stock 2</t>
  </si>
  <si>
    <t>(X-X_Mean)*(Y-Y_mean)</t>
  </si>
  <si>
    <t>Vaeiance X</t>
  </si>
  <si>
    <t>VarianceY</t>
  </si>
  <si>
    <t>co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</si>
</sst>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0"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EEBB6-C917-4395-A0E1-8FB2DC4D959C}" name="Table1" displayName="Table1" ref="F8:J14" totalsRowShown="0" headerRowDxfId="16" dataDxfId="17">
  <autoFilter ref="F8:J14" xr:uid="{646EEBB6-C917-4395-A0E1-8FB2DC4D959C}"/>
  <tableColumns count="5">
    <tableColumn id="1" xr3:uid="{22DED7FE-4B54-48FC-9594-EA17E96DD29D}" name="X" dataDxfId="19"/>
    <tableColumn id="2" xr3:uid="{4EC3E045-2655-4E33-B1EB-39BE8AC853B6}" name="Y" dataDxfId="18"/>
    <tableColumn id="3" xr3:uid="{9A1E8A2C-C79E-466D-852B-89E3BAF42B98}" name="(X-X_Mean)" dataDxfId="15"/>
    <tableColumn id="4" xr3:uid="{6836B90C-08B1-4380-9D41-C53CE7F2F28D}" name="(Y-Y_Mean)" dataDxfId="14">
      <calculatedColumnFormula>Table1[[#This Row],[Y]]-$G$19</calculatedColumnFormula>
    </tableColumn>
    <tableColumn id="5" xr3:uid="{40018E28-2165-4929-98DF-AF1CC0969B2D}" name="(X-X mean)*(Y-Ymean)" dataDxfId="13">
      <calculatedColumnFormula>Table1[[#This Row],[(X-X_Mean)]]*Table1[[#This Row],[(Y-Y_Mean)]]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185874-74D6-4536-9021-F7A7D3CD4C45}" name="Table2" displayName="Table2" ref="A8:D14" totalsRowShown="0" headerRowDxfId="7" dataDxfId="8">
  <autoFilter ref="A8:D14" xr:uid="{6A185874-74D6-4536-9021-F7A7D3CD4C45}"/>
  <tableColumns count="4">
    <tableColumn id="1" xr3:uid="{C1FB8011-B34D-41FA-8309-EB0CFAB063C8}" name="A (x)" dataDxfId="12"/>
    <tableColumn id="2" xr3:uid="{72DFC8A9-5E75-4EC3-8B09-722CB722CC22}" name="B (Mean λ)" dataDxfId="11"/>
    <tableColumn id="3" xr3:uid="{3F26D5B5-E24A-4253-9133-B7542186A8D5}" name="C (Formula)" dataDxfId="10"/>
    <tableColumn id="4" xr3:uid="{28384AEC-A1EB-445B-B96D-714786C7ECB9}" name="D (Probability)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91C837-73C3-43FE-BCBF-5C235EB7EBA8}" name="Table3" displayName="Table3" ref="J27:L33" totalsRowCount="1" headerRowDxfId="6">
  <autoFilter ref="J27:L32" xr:uid="{C991C837-73C3-43FE-BCBF-5C235EB7EBA8}"/>
  <tableColumns count="3">
    <tableColumn id="1" xr3:uid="{765C915A-7495-4BFC-BC5E-E89DC84CD45B}" name="(X-X_Mean)*(Y-Y_mean)" totalsRowFunction="custom" dataDxfId="4" totalsRowDxfId="5">
      <calculatedColumnFormula>H28*I28</calculatedColumnFormula>
      <totalsRowFormula>SUM(Table3[(X-X_Mean)*(Y-Y_mean)])</totalsRowFormula>
    </tableColumn>
    <tableColumn id="2" xr3:uid="{3ADF75F1-451C-4EA9-9ACF-425E9990ACAC}" name="Vaeiance X" totalsRowFunction="custom" dataDxfId="2" totalsRowDxfId="3">
      <calculatedColumnFormula>H28*H28</calculatedColumnFormula>
      <totalsRowFormula>SUM(Table3[Vaeiance X])</totalsRowFormula>
    </tableColumn>
    <tableColumn id="3" xr3:uid="{F6046DD2-C150-4A0E-9516-B106489993D2}" name="VarianceY" totalsRowFunction="custom" dataDxfId="1" totalsRowDxfId="0">
      <calculatedColumnFormula>I28*I28</calculatedColumnFormula>
      <totalsRowFormula>SUM(Table3[VarianceY])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1E90-3EDA-4A8A-8059-27C972337690}">
  <dimension ref="A6:N37"/>
  <sheetViews>
    <sheetView tabSelected="1" workbookViewId="0">
      <selection activeCell="C32" sqref="C32"/>
    </sheetView>
  </sheetViews>
  <sheetFormatPr defaultRowHeight="15"/>
  <cols>
    <col min="1" max="1" width="12.5703125" customWidth="1"/>
    <col min="2" max="2" width="16" customWidth="1"/>
    <col min="3" max="3" width="23.140625" customWidth="1"/>
    <col min="4" max="4" width="19" customWidth="1"/>
    <col min="6" max="6" width="16.7109375" customWidth="1"/>
    <col min="7" max="7" width="14.42578125" customWidth="1"/>
    <col min="8" max="8" width="19.140625" customWidth="1"/>
    <col min="9" max="9" width="16.28515625" customWidth="1"/>
    <col min="10" max="10" width="25.140625" customWidth="1"/>
    <col min="11" max="11" width="14.42578125" customWidth="1"/>
    <col min="12" max="12" width="12.85546875" customWidth="1"/>
    <col min="13" max="13" width="11.28515625" customWidth="1"/>
  </cols>
  <sheetData>
    <row r="6" spans="1:14">
      <c r="A6" s="7" t="s">
        <v>4</v>
      </c>
      <c r="B6" s="7"/>
      <c r="C6" s="7"/>
      <c r="D6" s="7"/>
      <c r="F6" s="7" t="s">
        <v>16</v>
      </c>
      <c r="G6" s="7"/>
      <c r="H6" s="7"/>
      <c r="I6" s="7"/>
      <c r="J6" s="7"/>
      <c r="L6" t="s">
        <v>22</v>
      </c>
      <c r="M6" t="s">
        <v>23</v>
      </c>
      <c r="N6" t="s">
        <v>24</v>
      </c>
    </row>
    <row r="7" spans="1:14">
      <c r="L7">
        <v>1</v>
      </c>
      <c r="M7" s="9">
        <v>0.03</v>
      </c>
      <c r="N7" s="9">
        <v>0.05</v>
      </c>
    </row>
    <row r="8" spans="1:14" ht="10.5" customHeight="1">
      <c r="A8" s="2" t="s">
        <v>1</v>
      </c>
      <c r="B8" s="2" t="s">
        <v>0</v>
      </c>
      <c r="C8" s="4" t="s">
        <v>2</v>
      </c>
      <c r="D8" s="2" t="s">
        <v>3</v>
      </c>
      <c r="F8" s="4" t="s">
        <v>5</v>
      </c>
      <c r="G8" s="4" t="s">
        <v>6</v>
      </c>
      <c r="H8" s="4" t="s">
        <v>10</v>
      </c>
      <c r="I8" s="4" t="s">
        <v>13</v>
      </c>
      <c r="J8" s="4" t="s">
        <v>14</v>
      </c>
      <c r="L8">
        <v>2</v>
      </c>
      <c r="M8" s="9">
        <v>0.02</v>
      </c>
      <c r="N8" s="10">
        <v>4.4999999999999998E-2</v>
      </c>
    </row>
    <row r="9" spans="1:14">
      <c r="A9" s="1">
        <v>0</v>
      </c>
      <c r="B9" s="1">
        <v>4</v>
      </c>
      <c r="C9" s="5">
        <f>_xlfn.POISSON.DIST(A9,B9,FALSE)</f>
        <v>1.8315638888734179E-2</v>
      </c>
      <c r="D9" s="1">
        <v>1.83E-2</v>
      </c>
      <c r="F9" s="3">
        <v>2</v>
      </c>
      <c r="G9" s="3">
        <v>4</v>
      </c>
      <c r="H9" s="3">
        <f>Table1[[#This Row],[X]]-G18</f>
        <v>-0.39999999999999991</v>
      </c>
      <c r="I9" s="3">
        <f>Table1[[#This Row],[Y]]-$G$19</f>
        <v>0.10000000000000009</v>
      </c>
      <c r="J9" s="3">
        <f>Table1[[#This Row],[(X-X_Mean)]]*Table1[[#This Row],[(Y-Y_Mean)]]</f>
        <v>-4.0000000000000029E-2</v>
      </c>
      <c r="L9">
        <v>3</v>
      </c>
      <c r="M9" s="9">
        <v>0.06</v>
      </c>
      <c r="N9" s="9">
        <v>0.09</v>
      </c>
    </row>
    <row r="10" spans="1:14">
      <c r="A10" s="1">
        <v>1</v>
      </c>
      <c r="B10" s="1">
        <v>4</v>
      </c>
      <c r="C10" s="5">
        <f>_xlfn.POISSON.DIST(A10,B10,TRUE)</f>
        <v>9.1578194443670893E-2</v>
      </c>
      <c r="D10" s="1">
        <v>7.3300000000000004E-2</v>
      </c>
      <c r="F10" s="3">
        <v>3</v>
      </c>
      <c r="G10" s="3">
        <v>4.5</v>
      </c>
      <c r="H10" s="3">
        <f>Table1[[#This Row],[X]]-G18</f>
        <v>0.60000000000000009</v>
      </c>
      <c r="I10" s="3">
        <f>Table1[[#This Row],[Y]]-$G$19</f>
        <v>0.60000000000000009</v>
      </c>
      <c r="J10" s="3">
        <f>Table1[[#This Row],[(X-X_Mean)]]*Table1[[#This Row],[(Y-Y_Mean)]]</f>
        <v>0.3600000000000001</v>
      </c>
      <c r="L10">
        <v>4</v>
      </c>
      <c r="M10" s="9">
        <v>0.01</v>
      </c>
      <c r="N10" s="9">
        <v>0.01</v>
      </c>
    </row>
    <row r="11" spans="1:14">
      <c r="A11" s="1">
        <v>2</v>
      </c>
      <c r="B11" s="1">
        <v>4</v>
      </c>
      <c r="C11" s="5">
        <f>_xlfn.POISSON.DIST(A11,B11,TRUE)</f>
        <v>0.23810330555354431</v>
      </c>
      <c r="D11" s="1">
        <v>0.14649999999999999</v>
      </c>
      <c r="F11" s="3">
        <v>6</v>
      </c>
      <c r="G11" s="3">
        <v>6</v>
      </c>
      <c r="H11" s="3">
        <f>Table1[[#This Row],[X]]-G18</f>
        <v>3.6</v>
      </c>
      <c r="I11" s="3">
        <f>Table1[[#This Row],[Y]]-$G$19</f>
        <v>2.1</v>
      </c>
      <c r="J11" s="3">
        <f>Table1[[#This Row],[(X-X_Mean)]]*Table1[[#This Row],[(Y-Y_Mean)]]</f>
        <v>7.5600000000000005</v>
      </c>
      <c r="L11">
        <v>5</v>
      </c>
      <c r="M11" s="9">
        <v>0</v>
      </c>
      <c r="N11" s="9">
        <v>0.01</v>
      </c>
    </row>
    <row r="12" spans="1:14">
      <c r="A12" s="1">
        <v>3</v>
      </c>
      <c r="B12" s="1">
        <v>4</v>
      </c>
      <c r="C12" s="5">
        <f>_xlfn.POISSON.DIST(A12,B12,FALSE)</f>
        <v>0.19536681481316462</v>
      </c>
      <c r="D12" s="1">
        <v>0.19539999999999999</v>
      </c>
      <c r="F12" s="3">
        <v>0</v>
      </c>
      <c r="G12" s="3">
        <v>3</v>
      </c>
      <c r="H12" s="3">
        <f>Table1[[#This Row],[X]]-G18</f>
        <v>-2.4</v>
      </c>
      <c r="I12" s="3">
        <f>Table1[[#This Row],[Y]]-$G$19</f>
        <v>-0.89999999999999991</v>
      </c>
      <c r="J12" s="3">
        <f>Table1[[#This Row],[(X-X_Mean)]]*Table1[[#This Row],[(Y-Y_Mean)]]</f>
        <v>2.1599999999999997</v>
      </c>
    </row>
    <row r="13" spans="1:14">
      <c r="A13" s="1">
        <v>4</v>
      </c>
      <c r="B13" s="1">
        <v>4</v>
      </c>
      <c r="C13" s="5">
        <f>_xlfn.POISSON.DIST(A13,B13,FALSE)</f>
        <v>0.19536681481316462</v>
      </c>
      <c r="D13" s="1">
        <v>0.19539999999999999</v>
      </c>
      <c r="F13" s="3">
        <v>1</v>
      </c>
      <c r="G13" s="3">
        <v>2</v>
      </c>
      <c r="H13" s="3">
        <f>Table1[[#This Row],[X]]-G18</f>
        <v>-1.4</v>
      </c>
      <c r="I13" s="3">
        <f>Table1[[#This Row],[Y]]-$G$19</f>
        <v>-1.9</v>
      </c>
      <c r="J13" s="3">
        <f>Table1[[#This Row],[(X-X_Mean)]]*Table1[[#This Row],[(Y-Y_Mean)]]</f>
        <v>2.6599999999999997</v>
      </c>
      <c r="M13">
        <f>_xlfn.COVARIANCE.P(M7:M11,N7:N11)</f>
        <v>5.9599999999999996E-4</v>
      </c>
    </row>
    <row r="14" spans="1:14">
      <c r="A14" s="1">
        <v>12</v>
      </c>
      <c r="B14" s="1">
        <v>7</v>
      </c>
      <c r="C14">
        <f>_xlfn.POISSON.DIST(A14,B14,FALSE)</f>
        <v>2.6349849726289985E-2</v>
      </c>
      <c r="D14" s="1">
        <v>0.23400000000000001</v>
      </c>
      <c r="F14" s="3"/>
      <c r="G14" s="3"/>
      <c r="H14" s="8"/>
      <c r="I14" s="8"/>
      <c r="J14" s="8"/>
    </row>
    <row r="16" spans="1:14">
      <c r="I16" t="s">
        <v>15</v>
      </c>
      <c r="J16">
        <f>_xlfn.COVARIANCE.P(I9:I13,J9:J13)</f>
        <v>1.8180000000000007</v>
      </c>
    </row>
    <row r="17" spans="1:12">
      <c r="F17" t="s">
        <v>11</v>
      </c>
    </row>
    <row r="18" spans="1:12">
      <c r="F18" t="s">
        <v>8</v>
      </c>
      <c r="G18">
        <f>AVERAGE(Table1[X])</f>
        <v>2.4</v>
      </c>
    </row>
    <row r="19" spans="1:12">
      <c r="F19" t="s">
        <v>9</v>
      </c>
      <c r="G19">
        <f>AVERAGE(Table1[Y])</f>
        <v>3.9</v>
      </c>
    </row>
    <row r="20" spans="1:12">
      <c r="F20" t="s">
        <v>12</v>
      </c>
      <c r="G20">
        <f>_xlfn.COVARIANCE.P(Table1[X],Table1[Y])</f>
        <v>2.54</v>
      </c>
    </row>
    <row r="21" spans="1:12">
      <c r="F21" t="s">
        <v>12</v>
      </c>
      <c r="G21">
        <f>_xlfn.COVARIANCE.S(Table1[X],Table1[Y])</f>
        <v>3.1750000000000003</v>
      </c>
    </row>
    <row r="22" spans="1:12">
      <c r="F22" t="s">
        <v>11</v>
      </c>
      <c r="G22">
        <f>CORREL(F9:F13,G9:G13)</f>
        <v>0.90937262582535006</v>
      </c>
    </row>
    <row r="25" spans="1:12">
      <c r="B25" s="7" t="s">
        <v>17</v>
      </c>
      <c r="C25" s="7"/>
      <c r="D25" s="7"/>
    </row>
    <row r="26" spans="1:12">
      <c r="A26" t="s">
        <v>18</v>
      </c>
      <c r="B26" t="s">
        <v>19</v>
      </c>
      <c r="C26" t="s">
        <v>20</v>
      </c>
      <c r="D26" t="s">
        <v>21</v>
      </c>
    </row>
    <row r="27" spans="1:12" ht="18.75" customHeight="1">
      <c r="F27" s="11" t="s">
        <v>5</v>
      </c>
      <c r="G27" s="11" t="s">
        <v>6</v>
      </c>
      <c r="H27" s="11" t="s">
        <v>10</v>
      </c>
      <c r="I27" s="11" t="s">
        <v>13</v>
      </c>
      <c r="J27" s="14" t="s">
        <v>25</v>
      </c>
      <c r="K27" s="15" t="s">
        <v>26</v>
      </c>
      <c r="L27" s="15" t="s">
        <v>27</v>
      </c>
    </row>
    <row r="28" spans="1:12">
      <c r="F28" s="12">
        <v>2</v>
      </c>
      <c r="G28" s="12">
        <v>4</v>
      </c>
      <c r="H28" s="12">
        <f>F28-G36</f>
        <v>-0.39999999999999991</v>
      </c>
      <c r="I28" s="12">
        <f>G28-G37</f>
        <v>0.10000000000000009</v>
      </c>
      <c r="J28" s="6">
        <f>H28*I28</f>
        <v>-4.0000000000000029E-2</v>
      </c>
      <c r="K28" s="6">
        <f t="shared" ref="K28:K32" si="0">H28*H28</f>
        <v>0.15999999999999992</v>
      </c>
      <c r="L28" s="6">
        <f t="shared" ref="L28:L32" si="1">I28*I28</f>
        <v>1.0000000000000018E-2</v>
      </c>
    </row>
    <row r="29" spans="1:12">
      <c r="F29" s="13">
        <v>3</v>
      </c>
      <c r="G29" s="13">
        <v>4.5</v>
      </c>
      <c r="H29" s="13">
        <f>F29-G36</f>
        <v>0.60000000000000009</v>
      </c>
      <c r="I29" s="13">
        <f>G29-G37</f>
        <v>0.60000000000000009</v>
      </c>
      <c r="J29" s="6">
        <f>H29*I29</f>
        <v>0.3600000000000001</v>
      </c>
      <c r="K29" s="6">
        <f t="shared" si="0"/>
        <v>0.3600000000000001</v>
      </c>
      <c r="L29" s="6">
        <f>I29*I29</f>
        <v>0.3600000000000001</v>
      </c>
    </row>
    <row r="30" spans="1:12">
      <c r="F30" s="12">
        <v>6</v>
      </c>
      <c r="G30" s="12">
        <v>6</v>
      </c>
      <c r="H30" s="12">
        <f>F30-G36</f>
        <v>3.6</v>
      </c>
      <c r="I30" s="12">
        <f>G30-G37</f>
        <v>2.1</v>
      </c>
      <c r="J30" s="6">
        <f>H30*I30</f>
        <v>7.5600000000000005</v>
      </c>
      <c r="K30" s="6">
        <f>H30*H30</f>
        <v>12.96</v>
      </c>
      <c r="L30" s="6">
        <f t="shared" si="1"/>
        <v>4.41</v>
      </c>
    </row>
    <row r="31" spans="1:12">
      <c r="F31" s="13">
        <v>0</v>
      </c>
      <c r="G31" s="13">
        <v>3</v>
      </c>
      <c r="H31" s="13">
        <f>F31-G36</f>
        <v>-2.4</v>
      </c>
      <c r="I31" s="13">
        <f>G31-G37</f>
        <v>-0.89999999999999991</v>
      </c>
      <c r="J31" s="6">
        <f>H31*I31</f>
        <v>2.1599999999999997</v>
      </c>
      <c r="K31" s="6">
        <f>H31*H31</f>
        <v>5.76</v>
      </c>
      <c r="L31" s="6">
        <f t="shared" si="1"/>
        <v>0.80999999999999983</v>
      </c>
    </row>
    <row r="32" spans="1:12">
      <c r="F32" s="12">
        <v>1</v>
      </c>
      <c r="G32" s="12">
        <v>2</v>
      </c>
      <c r="H32" s="12">
        <f>F32-G36</f>
        <v>-1.4</v>
      </c>
      <c r="I32" s="12">
        <f>G32-G37</f>
        <v>-1.9</v>
      </c>
      <c r="J32" s="6">
        <f>H32*I32</f>
        <v>2.6599999999999997</v>
      </c>
      <c r="K32" s="6">
        <f>H32*H32</f>
        <v>1.9599999999999997</v>
      </c>
      <c r="L32" s="6">
        <f>I32*I32</f>
        <v>3.61</v>
      </c>
    </row>
    <row r="33" spans="6:12">
      <c r="H33">
        <f>SUM(H28:H32)</f>
        <v>0</v>
      </c>
      <c r="I33">
        <f>SUM(I28:I32)</f>
        <v>0</v>
      </c>
      <c r="J33" s="6">
        <f>SUM(Table3[(X-X_Mean)*(Y-Y_mean)])</f>
        <v>12.700000000000001</v>
      </c>
      <c r="K33" s="16">
        <f>SUM(Table3[Vaeiance X])</f>
        <v>21.200000000000003</v>
      </c>
      <c r="L33" s="16">
        <f>SUM(Table3[VarianceY])</f>
        <v>9.1999999999999993</v>
      </c>
    </row>
    <row r="34" spans="6:12">
      <c r="I34" t="s">
        <v>28</v>
      </c>
      <c r="J34" s="6">
        <f>Table3[[#Totals],[(X-X_Mean)*(Y-Y_mean)]]/4</f>
        <v>3.1750000000000003</v>
      </c>
      <c r="K34" s="6">
        <f>SQRT(Table3[[#Totals],[Vaeiance X]]/4)</f>
        <v>2.3021728866442679</v>
      </c>
      <c r="L34" s="6">
        <f>SQRT(Table3[[#Totals],[VarianceY]]/4)</f>
        <v>1.51657508881031</v>
      </c>
    </row>
    <row r="36" spans="6:12">
      <c r="F36" t="s">
        <v>8</v>
      </c>
      <c r="G36">
        <f>AVERAGE(Table1[X])</f>
        <v>2.4</v>
      </c>
      <c r="I36" t="s">
        <v>7</v>
      </c>
      <c r="J36">
        <f>J34/(K34*L34)</f>
        <v>0.90937262582535017</v>
      </c>
    </row>
    <row r="37" spans="6:12">
      <c r="F37" t="s">
        <v>9</v>
      </c>
      <c r="G37">
        <f>AVERAGE(Table1[Y])</f>
        <v>3.9</v>
      </c>
    </row>
  </sheetData>
  <mergeCells count="3">
    <mergeCell ref="A6:D6"/>
    <mergeCell ref="F6:J6"/>
    <mergeCell ref="B25:D25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MELPADI</dc:creator>
  <cp:lastModifiedBy>VINOD MELPADI</cp:lastModifiedBy>
  <dcterms:created xsi:type="dcterms:W3CDTF">2026-06-30T05:13:36Z</dcterms:created>
  <dcterms:modified xsi:type="dcterms:W3CDTF">2026-06-30T10:33:06Z</dcterms:modified>
</cp:coreProperties>
</file>