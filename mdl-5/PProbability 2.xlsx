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4"/>
  <workbookPr/>
  <mc:AlternateContent xmlns:mc="http://schemas.openxmlformats.org/markup-compatibility/2006">
    <mc:Choice Requires="x15">
      <x15ac:absPath xmlns:x15ac="http://schemas.microsoft.com/office/spreadsheetml/2010/11/ac" url="C:\Users\MITS\Downloads\"/>
    </mc:Choice>
  </mc:AlternateContent>
  <xr:revisionPtr revIDLastSave="0" documentId="8_{1C721E64-E5CA-43EE-B5F9-9E730E8771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8" i="1" l="1"/>
  <c r="AM6" i="1"/>
  <c r="AL6" i="1"/>
  <c r="AM5" i="1"/>
  <c r="AL5" i="1"/>
  <c r="AY8" i="1"/>
  <c r="AX8" i="1"/>
  <c r="AW8" i="1"/>
  <c r="AY7" i="1"/>
  <c r="AX7" i="1"/>
  <c r="AW7" i="1"/>
  <c r="AH5" i="1"/>
  <c r="AH6" i="1" s="1"/>
  <c r="AH7" i="1" s="1"/>
  <c r="AH8" i="1" s="1"/>
  <c r="AH9" i="1" s="1"/>
  <c r="AH10" i="1" s="1"/>
  <c r="AH11" i="1" s="1"/>
  <c r="AH12" i="1" s="1"/>
  <c r="AH13" i="1" s="1"/>
  <c r="AH14" i="1" s="1"/>
  <c r="AH15" i="1" s="1"/>
  <c r="AH16" i="1" s="1"/>
  <c r="AH17" i="1" s="1"/>
  <c r="AH18" i="1" s="1"/>
  <c r="AH19" i="1" s="1"/>
  <c r="AH20" i="1" s="1"/>
  <c r="AH21" i="1" s="1"/>
  <c r="AH22" i="1" s="1"/>
  <c r="AH23" i="1" s="1"/>
  <c r="AH24" i="1" s="1"/>
  <c r="AH25" i="1" s="1"/>
  <c r="AH26" i="1" s="1"/>
  <c r="AH27" i="1" s="1"/>
  <c r="AH28" i="1" s="1"/>
  <c r="AH29" i="1" s="1"/>
  <c r="AH30" i="1" s="1"/>
  <c r="AH31" i="1" s="1"/>
  <c r="AH32" i="1" s="1"/>
  <c r="AH33" i="1" s="1"/>
  <c r="AH34" i="1" s="1"/>
  <c r="AH35" i="1" s="1"/>
  <c r="AH36" i="1" s="1"/>
  <c r="AH4" i="1"/>
  <c r="AT4" i="1"/>
  <c r="AT5" i="1"/>
  <c r="AT6" i="1"/>
  <c r="AT7" i="1"/>
  <c r="AT8" i="1"/>
  <c r="AT9" i="1"/>
  <c r="AT10" i="1"/>
  <c r="AT11" i="1"/>
  <c r="AT12" i="1"/>
  <c r="AT13" i="1"/>
  <c r="AT14" i="1"/>
  <c r="AT15" i="1" s="1"/>
  <c r="AT16" i="1" s="1"/>
  <c r="AT17" i="1" s="1"/>
  <c r="AT18" i="1" s="1"/>
  <c r="AT19" i="1" s="1"/>
  <c r="AT20" i="1" s="1"/>
  <c r="AT21" i="1" s="1"/>
  <c r="AT22" i="1" s="1"/>
  <c r="AT23" i="1" s="1"/>
  <c r="AT24" i="1" s="1"/>
  <c r="AT25" i="1" s="1"/>
  <c r="AT26" i="1" s="1"/>
  <c r="AT27" i="1" s="1"/>
  <c r="AT28" i="1" s="1"/>
  <c r="AT29" i="1" s="1"/>
  <c r="AT30" i="1" s="1"/>
  <c r="AT31" i="1" s="1"/>
  <c r="AT32" i="1" s="1"/>
  <c r="AT33" i="1" s="1"/>
  <c r="AT34" i="1" s="1"/>
  <c r="AT35" i="1" s="1"/>
  <c r="AT36" i="1" s="1"/>
  <c r="AT37" i="1" s="1"/>
  <c r="AT38" i="1" s="1"/>
  <c r="AT39" i="1" s="1"/>
  <c r="AT40" i="1" s="1"/>
  <c r="AT41" i="1" s="1"/>
  <c r="AT42" i="1" s="1"/>
  <c r="AT43" i="1" s="1"/>
  <c r="AT44" i="1" s="1"/>
  <c r="AT45" i="1" s="1"/>
  <c r="AT46" i="1" s="1"/>
  <c r="AT47" i="1" s="1"/>
  <c r="AT48" i="1" s="1"/>
  <c r="AT49" i="1" s="1"/>
  <c r="AT50" i="1" s="1"/>
  <c r="AT51" i="1" s="1"/>
  <c r="AT52" i="1" s="1"/>
  <c r="AT53" i="1" s="1"/>
  <c r="AT54" i="1" s="1"/>
  <c r="AT55" i="1" s="1"/>
  <c r="AT56" i="1" s="1"/>
  <c r="AT57" i="1" s="1"/>
  <c r="AT58" i="1" s="1"/>
  <c r="AT59" i="1" s="1"/>
  <c r="AT60" i="1" s="1"/>
  <c r="AT61" i="1" s="1"/>
  <c r="AT62" i="1" s="1"/>
  <c r="AT63" i="1" s="1"/>
  <c r="AT64" i="1" s="1"/>
  <c r="AT65" i="1" s="1"/>
  <c r="AT66" i="1" s="1"/>
  <c r="AT67" i="1" s="1"/>
  <c r="AT68" i="1" s="1"/>
  <c r="AT69" i="1" s="1"/>
  <c r="AT70" i="1" s="1"/>
  <c r="AT71" i="1" s="1"/>
  <c r="AT72" i="1" s="1"/>
  <c r="AT73" i="1" s="1"/>
  <c r="AT74" i="1" s="1"/>
  <c r="AT75" i="1" s="1"/>
  <c r="AT76" i="1" s="1"/>
  <c r="AT77" i="1" s="1"/>
  <c r="AT78" i="1" s="1"/>
  <c r="AT79" i="1" s="1"/>
  <c r="AT80" i="1" s="1"/>
  <c r="AT81" i="1" s="1"/>
  <c r="AT82" i="1" s="1"/>
  <c r="AT83" i="1" s="1"/>
  <c r="AT84" i="1" s="1"/>
  <c r="AT85" i="1" s="1"/>
  <c r="AT86" i="1" s="1"/>
  <c r="AT87" i="1" s="1"/>
  <c r="AT88" i="1" s="1"/>
  <c r="AT89" i="1" s="1"/>
  <c r="AT90" i="1" s="1"/>
  <c r="AT91" i="1" s="1"/>
  <c r="AT92" i="1" s="1"/>
  <c r="AT93" i="1" s="1"/>
  <c r="AT94" i="1" s="1"/>
  <c r="AT95" i="1" s="1"/>
  <c r="AT96" i="1" s="1"/>
  <c r="AT97" i="1" s="1"/>
  <c r="AT98" i="1" s="1"/>
  <c r="AT99" i="1" s="1"/>
  <c r="AH3" i="1"/>
  <c r="AD6" i="1"/>
  <c r="AD7" i="1" s="1"/>
  <c r="AE7" i="1"/>
  <c r="AF6" i="1"/>
  <c r="AF7" i="1" s="1"/>
  <c r="AE6" i="1"/>
  <c r="O17" i="1"/>
  <c r="P12" i="1"/>
  <c r="O12" i="1"/>
  <c r="N12" i="1"/>
  <c r="N5" i="1"/>
  <c r="N7" i="1"/>
  <c r="H13" i="1"/>
  <c r="F13" i="1"/>
  <c r="K12" i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4" i="1"/>
  <c r="K5" i="1"/>
  <c r="K6" i="1"/>
  <c r="K7" i="1"/>
  <c r="K8" i="1"/>
  <c r="K9" i="1"/>
  <c r="K10" i="1"/>
  <c r="K11" i="1"/>
  <c r="K3" i="1"/>
  <c r="H16" i="1"/>
  <c r="H15" i="1"/>
  <c r="H14" i="1"/>
  <c r="F16" i="1"/>
  <c r="F15" i="1"/>
  <c r="F14" i="1"/>
  <c r="H10" i="1"/>
  <c r="H9" i="1"/>
  <c r="H6" i="1"/>
  <c r="H5" i="1"/>
  <c r="A10" i="1"/>
  <c r="A11" i="1"/>
  <c r="A12" i="1"/>
  <c r="A13" i="1"/>
  <c r="A14" i="1"/>
  <c r="A15" i="1"/>
  <c r="A16" i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4" i="1"/>
  <c r="A5" i="1"/>
  <c r="A6" i="1"/>
  <c r="A7" i="1"/>
  <c r="A8" i="1"/>
  <c r="A9" i="1"/>
  <c r="A3" i="1"/>
  <c r="AD9" i="1" l="1"/>
</calcChain>
</file>

<file path=xl/sharedStrings.xml><?xml version="1.0" encoding="utf-8"?>
<sst xmlns="http://schemas.openxmlformats.org/spreadsheetml/2006/main" count="468" uniqueCount="50">
  <si>
    <t>Trail No</t>
  </si>
  <si>
    <t>Result</t>
  </si>
  <si>
    <t>Trail</t>
  </si>
  <si>
    <t>Roll</t>
  </si>
  <si>
    <t>cummulative probability</t>
  </si>
  <si>
    <t>Tail</t>
  </si>
  <si>
    <t>name</t>
  </si>
  <si>
    <t>coin</t>
  </si>
  <si>
    <t>die</t>
  </si>
  <si>
    <t>student id</t>
  </si>
  <si>
    <t>Student  Marks</t>
  </si>
  <si>
    <t>Head</t>
  </si>
  <si>
    <t>t</t>
  </si>
  <si>
    <t>count of getting 6</t>
  </si>
  <si>
    <t>count of gettng 5</t>
  </si>
  <si>
    <t>count</t>
  </si>
  <si>
    <t>cricket</t>
  </si>
  <si>
    <t>h</t>
  </si>
  <si>
    <t xml:space="preserve">probababilitynof getting of t </t>
  </si>
  <si>
    <t>Probability  of  getting of 6</t>
  </si>
  <si>
    <t>count Head</t>
  </si>
  <si>
    <t>Male</t>
  </si>
  <si>
    <t>YES</t>
  </si>
  <si>
    <t>probability of male</t>
  </si>
  <si>
    <t>probability cricket "YES"</t>
  </si>
  <si>
    <t>prabability of  getting ="gender" males and cricke="YES"</t>
  </si>
  <si>
    <t>count Tail</t>
  </si>
  <si>
    <t>probability</t>
  </si>
  <si>
    <t>Female</t>
  </si>
  <si>
    <t xml:space="preserve">count of &lt;=70 </t>
  </si>
  <si>
    <t>count&lt;=60</t>
  </si>
  <si>
    <t>count&lt;=50</t>
  </si>
  <si>
    <t>probability of getting T and 6</t>
  </si>
  <si>
    <t>probability of males who plays the cricket</t>
  </si>
  <si>
    <t>Probability of head</t>
  </si>
  <si>
    <t>Probability of  tail</t>
  </si>
  <si>
    <t>probability of geeting 2</t>
  </si>
  <si>
    <t>probability of geeting 4</t>
  </si>
  <si>
    <t>P(AUB)= P(A)+P(B)</t>
  </si>
  <si>
    <t>count of head,head</t>
  </si>
  <si>
    <t>Probability of head,head</t>
  </si>
  <si>
    <t>NO</t>
  </si>
  <si>
    <t>count of tail,tail</t>
  </si>
  <si>
    <t>Probability of tail,tail</t>
  </si>
  <si>
    <t>count of head,tail</t>
  </si>
  <si>
    <t>Probability of head,tail</t>
  </si>
  <si>
    <t>count of tail,head</t>
  </si>
  <si>
    <t>Probability of tail,head</t>
  </si>
  <si>
    <t>probability of geeting 4+probability of geeting 2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</si>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</sst>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01"/>
  <sheetViews>
    <sheetView tabSelected="1" topLeftCell="AE2" workbookViewId="0">
      <selection activeCell="AL9" sqref="AL9"/>
    </sheetView>
  </sheetViews>
  <sheetFormatPr defaultRowHeight="15"/>
  <cols>
    <col min="1" max="1" width="8.7109375" customWidth="1"/>
    <col min="2" max="2" width="9.7109375" customWidth="1"/>
    <col min="3" max="3" width="11.28515625" customWidth="1"/>
    <col min="5" max="5" width="20.140625" customWidth="1"/>
    <col min="7" max="7" width="23.85546875" customWidth="1"/>
    <col min="14" max="14" width="17" customWidth="1"/>
    <col min="15" max="15" width="22.28515625" customWidth="1"/>
    <col min="16" max="16" width="21.28515625" customWidth="1"/>
    <col min="21" max="21" width="10.85546875" customWidth="1"/>
    <col min="23" max="23" width="12.28515625" customWidth="1"/>
    <col min="30" max="30" width="41.140625" customWidth="1"/>
    <col min="31" max="31" width="21.42578125" customWidth="1"/>
    <col min="32" max="32" width="51.28515625" customWidth="1"/>
    <col min="38" max="38" width="30.140625" customWidth="1"/>
    <col min="39" max="39" width="28.7109375" customWidth="1"/>
    <col min="47" max="47" width="17.7109375" customWidth="1"/>
    <col min="49" max="49" width="13.42578125" customWidth="1"/>
    <col min="50" max="50" width="10.7109375" customWidth="1"/>
  </cols>
  <sheetData>
    <row r="1" spans="1:51">
      <c r="A1" t="s">
        <v>0</v>
      </c>
      <c r="B1" t="s">
        <v>1</v>
      </c>
      <c r="C1" t="s">
        <v>1</v>
      </c>
      <c r="K1" t="s">
        <v>2</v>
      </c>
      <c r="L1" t="s">
        <v>3</v>
      </c>
      <c r="AT1" s="3" t="s">
        <v>4</v>
      </c>
      <c r="AU1" s="3"/>
      <c r="AV1" s="3"/>
      <c r="AW1" s="3"/>
    </row>
    <row r="2" spans="1:51">
      <c r="A2">
        <v>1</v>
      </c>
      <c r="B2" t="s">
        <v>5</v>
      </c>
      <c r="C2" t="s">
        <v>5</v>
      </c>
      <c r="K2">
        <v>1</v>
      </c>
      <c r="L2">
        <v>5</v>
      </c>
      <c r="AH2" s="2" t="s">
        <v>6</v>
      </c>
      <c r="AI2" t="s">
        <v>7</v>
      </c>
      <c r="AJ2" t="s">
        <v>8</v>
      </c>
      <c r="AT2" s="2" t="s">
        <v>9</v>
      </c>
      <c r="AU2" s="2" t="s">
        <v>10</v>
      </c>
    </row>
    <row r="3" spans="1:51">
      <c r="A3">
        <f>A2+1</f>
        <v>2</v>
      </c>
      <c r="B3" t="s">
        <v>5</v>
      </c>
      <c r="C3" t="s">
        <v>11</v>
      </c>
      <c r="K3">
        <f>1+K2</f>
        <v>2</v>
      </c>
      <c r="L3">
        <v>4</v>
      </c>
      <c r="AH3" s="2">
        <f>1</f>
        <v>1</v>
      </c>
      <c r="AI3" t="s">
        <v>12</v>
      </c>
      <c r="AJ3" s="2">
        <v>2</v>
      </c>
      <c r="AT3" s="2">
        <v>1</v>
      </c>
      <c r="AU3" s="2">
        <v>35</v>
      </c>
    </row>
    <row r="4" spans="1:51">
      <c r="A4">
        <f t="shared" ref="A4:A67" si="0">A3+1</f>
        <v>3</v>
      </c>
      <c r="B4" t="s">
        <v>11</v>
      </c>
      <c r="C4" t="s">
        <v>5</v>
      </c>
      <c r="K4">
        <f t="shared" ref="K4:K67" si="1">1+K3</f>
        <v>3</v>
      </c>
      <c r="L4">
        <v>0</v>
      </c>
      <c r="N4" t="s">
        <v>13</v>
      </c>
      <c r="O4" t="s">
        <v>14</v>
      </c>
      <c r="Y4" s="2" t="s">
        <v>15</v>
      </c>
      <c r="Z4" s="2" t="s">
        <v>6</v>
      </c>
      <c r="AA4" s="2" t="s">
        <v>16</v>
      </c>
      <c r="AH4" s="2">
        <f>1+AH3</f>
        <v>2</v>
      </c>
      <c r="AI4" t="s">
        <v>17</v>
      </c>
      <c r="AJ4" s="2">
        <v>6</v>
      </c>
      <c r="AL4" t="s">
        <v>18</v>
      </c>
      <c r="AM4" t="s">
        <v>19</v>
      </c>
      <c r="AT4" s="2">
        <f>1+AT3</f>
        <v>2</v>
      </c>
      <c r="AU4" s="2">
        <v>79</v>
      </c>
    </row>
    <row r="5" spans="1:51">
      <c r="A5">
        <f t="shared" si="0"/>
        <v>4</v>
      </c>
      <c r="B5" t="s">
        <v>5</v>
      </c>
      <c r="C5" t="s">
        <v>11</v>
      </c>
      <c r="G5" t="s">
        <v>20</v>
      </c>
      <c r="H5">
        <f>COUNTIF(B:B,"Head")</f>
        <v>52</v>
      </c>
      <c r="K5">
        <f t="shared" si="1"/>
        <v>4</v>
      </c>
      <c r="L5">
        <v>3</v>
      </c>
      <c r="N5">
        <f>COUNTIF(L:L,6)</f>
        <v>10</v>
      </c>
      <c r="Y5" s="2">
        <v>1</v>
      </c>
      <c r="Z5" s="2" t="s">
        <v>21</v>
      </c>
      <c r="AA5" s="2" t="s">
        <v>22</v>
      </c>
      <c r="AD5" s="1" t="s">
        <v>23</v>
      </c>
      <c r="AE5" t="s">
        <v>24</v>
      </c>
      <c r="AF5" t="s">
        <v>25</v>
      </c>
      <c r="AH5" s="2">
        <f t="shared" ref="AH5:AH36" si="2">1+AH4</f>
        <v>3</v>
      </c>
      <c r="AI5" t="s">
        <v>17</v>
      </c>
      <c r="AJ5" s="2">
        <v>1</v>
      </c>
      <c r="AL5">
        <f>COUNTIF(AI3:AI36,"t")</f>
        <v>20</v>
      </c>
      <c r="AM5">
        <f>COUNTIF(AJ3:AJ36,6)</f>
        <v>7</v>
      </c>
      <c r="AT5" s="2">
        <f t="shared" ref="AT5:AT68" si="3">1+AT4</f>
        <v>3</v>
      </c>
      <c r="AU5" s="2">
        <v>80</v>
      </c>
    </row>
    <row r="6" spans="1:51">
      <c r="A6">
        <f t="shared" si="0"/>
        <v>5</v>
      </c>
      <c r="B6" t="s">
        <v>11</v>
      </c>
      <c r="C6" t="s">
        <v>5</v>
      </c>
      <c r="G6" t="s">
        <v>26</v>
      </c>
      <c r="H6">
        <f>COUNTIF(B:B,"Tail")</f>
        <v>48</v>
      </c>
      <c r="K6">
        <f t="shared" si="1"/>
        <v>5</v>
      </c>
      <c r="L6">
        <v>1</v>
      </c>
      <c r="N6" t="s">
        <v>27</v>
      </c>
      <c r="Y6" s="2">
        <v>2</v>
      </c>
      <c r="Z6" s="2" t="s">
        <v>28</v>
      </c>
      <c r="AA6" s="2" t="s">
        <v>22</v>
      </c>
      <c r="AD6" s="1">
        <f>COUNTA(Z5:Z99,"male")</f>
        <v>96</v>
      </c>
      <c r="AE6">
        <f>COUNTIF(AA5:AA99,"YES")</f>
        <v>42</v>
      </c>
      <c r="AF6">
        <f>COUNTIFS(Z5:Z99,"male",AA5:AA99,"yes")</f>
        <v>13</v>
      </c>
      <c r="AH6" s="2">
        <f t="shared" si="2"/>
        <v>4</v>
      </c>
      <c r="AI6" t="s">
        <v>12</v>
      </c>
      <c r="AJ6" s="2">
        <v>1</v>
      </c>
      <c r="AL6">
        <f>AL5/100</f>
        <v>0.2</v>
      </c>
      <c r="AM6">
        <f>AM5/100</f>
        <v>7.0000000000000007E-2</v>
      </c>
      <c r="AT6" s="2">
        <f t="shared" si="3"/>
        <v>4</v>
      </c>
      <c r="AU6" s="2">
        <v>66</v>
      </c>
      <c r="AW6" t="s">
        <v>29</v>
      </c>
      <c r="AX6" t="s">
        <v>30</v>
      </c>
      <c r="AY6" t="s">
        <v>31</v>
      </c>
    </row>
    <row r="7" spans="1:51">
      <c r="A7">
        <f t="shared" si="0"/>
        <v>6</v>
      </c>
      <c r="B7" t="s">
        <v>11</v>
      </c>
      <c r="C7" t="s">
        <v>5</v>
      </c>
      <c r="K7">
        <f t="shared" si="1"/>
        <v>6</v>
      </c>
      <c r="L7">
        <v>0</v>
      </c>
      <c r="N7">
        <f>N5/100</f>
        <v>0.1</v>
      </c>
      <c r="Y7" s="2">
        <v>3</v>
      </c>
      <c r="Z7" s="2" t="s">
        <v>21</v>
      </c>
      <c r="AA7" s="2" t="s">
        <v>22</v>
      </c>
      <c r="AD7" s="1">
        <f>AD6/100</f>
        <v>0.96</v>
      </c>
      <c r="AE7">
        <f>AE6/100</f>
        <v>0.42</v>
      </c>
      <c r="AF7">
        <f>AF6/100</f>
        <v>0.13</v>
      </c>
      <c r="AH7" s="2">
        <f t="shared" si="2"/>
        <v>5</v>
      </c>
      <c r="AI7" t="s">
        <v>17</v>
      </c>
      <c r="AJ7" s="2">
        <v>5</v>
      </c>
      <c r="AL7" t="s">
        <v>32</v>
      </c>
      <c r="AT7" s="2">
        <f t="shared" si="3"/>
        <v>5</v>
      </c>
      <c r="AU7" s="2">
        <v>89</v>
      </c>
      <c r="AW7">
        <f>COUNTIF(AU3:AU99,"&lt;=70")</f>
        <v>64</v>
      </c>
      <c r="AX7">
        <f>COUNTIF(AU3:AU99,"&lt;60")</f>
        <v>50</v>
      </c>
      <c r="AY7">
        <f>COUNTIF(AU3:AU99,"&lt;50")</f>
        <v>39</v>
      </c>
    </row>
    <row r="8" spans="1:51">
      <c r="A8">
        <f t="shared" si="0"/>
        <v>7</v>
      </c>
      <c r="B8" t="s">
        <v>5</v>
      </c>
      <c r="C8" t="s">
        <v>11</v>
      </c>
      <c r="K8">
        <f t="shared" si="1"/>
        <v>7</v>
      </c>
      <c r="L8">
        <v>6</v>
      </c>
      <c r="Y8" s="2">
        <v>4</v>
      </c>
      <c r="Z8" s="2" t="s">
        <v>21</v>
      </c>
      <c r="AA8" s="2" t="s">
        <v>22</v>
      </c>
      <c r="AD8" s="1" t="s">
        <v>33</v>
      </c>
      <c r="AH8" s="2">
        <f t="shared" si="2"/>
        <v>6</v>
      </c>
      <c r="AI8" t="s">
        <v>12</v>
      </c>
      <c r="AJ8" s="2">
        <v>2</v>
      </c>
      <c r="AL8">
        <f>AL6*AM6</f>
        <v>1.4000000000000002E-2</v>
      </c>
      <c r="AT8" s="2">
        <f t="shared" si="3"/>
        <v>6</v>
      </c>
      <c r="AU8" s="2">
        <v>78</v>
      </c>
      <c r="AW8">
        <f>AW7/100</f>
        <v>0.64</v>
      </c>
      <c r="AX8">
        <f>AX7/100</f>
        <v>0.5</v>
      </c>
      <c r="AY8">
        <f>AY7/100</f>
        <v>0.39</v>
      </c>
    </row>
    <row r="9" spans="1:51">
      <c r="A9">
        <f t="shared" si="0"/>
        <v>8</v>
      </c>
      <c r="B9" t="s">
        <v>11</v>
      </c>
      <c r="C9" t="s">
        <v>11</v>
      </c>
      <c r="G9" t="s">
        <v>34</v>
      </c>
      <c r="H9">
        <f>H5/100</f>
        <v>0.52</v>
      </c>
      <c r="K9">
        <f t="shared" si="1"/>
        <v>8</v>
      </c>
      <c r="L9">
        <v>3</v>
      </c>
      <c r="Y9" s="2">
        <v>5</v>
      </c>
      <c r="Z9" s="2" t="s">
        <v>21</v>
      </c>
      <c r="AA9" s="2" t="s">
        <v>22</v>
      </c>
      <c r="AD9" s="1">
        <f>AD7+AE7-AF7</f>
        <v>1.25</v>
      </c>
      <c r="AH9" s="2">
        <f t="shared" si="2"/>
        <v>7</v>
      </c>
      <c r="AI9" t="s">
        <v>17</v>
      </c>
      <c r="AJ9" s="2">
        <v>1</v>
      </c>
      <c r="AT9" s="2">
        <f t="shared" si="3"/>
        <v>7</v>
      </c>
      <c r="AU9" s="2">
        <v>66</v>
      </c>
    </row>
    <row r="10" spans="1:51">
      <c r="A10">
        <f t="shared" si="0"/>
        <v>9</v>
      </c>
      <c r="B10" t="s">
        <v>5</v>
      </c>
      <c r="C10" t="s">
        <v>11</v>
      </c>
      <c r="G10" t="s">
        <v>35</v>
      </c>
      <c r="H10">
        <f>H6/100</f>
        <v>0.48</v>
      </c>
      <c r="K10">
        <f t="shared" si="1"/>
        <v>9</v>
      </c>
      <c r="L10">
        <v>5</v>
      </c>
      <c r="Y10" s="2">
        <v>6</v>
      </c>
      <c r="Z10" s="2" t="s">
        <v>28</v>
      </c>
      <c r="AA10" s="2" t="s">
        <v>22</v>
      </c>
      <c r="AH10" s="2">
        <f t="shared" si="2"/>
        <v>8</v>
      </c>
      <c r="AI10" t="s">
        <v>12</v>
      </c>
      <c r="AJ10" s="2">
        <v>1</v>
      </c>
      <c r="AT10" s="2">
        <f t="shared" si="3"/>
        <v>8</v>
      </c>
      <c r="AU10" s="2">
        <v>71</v>
      </c>
    </row>
    <row r="11" spans="1:51">
      <c r="A11">
        <f t="shared" si="0"/>
        <v>10</v>
      </c>
      <c r="B11" t="s">
        <v>11</v>
      </c>
      <c r="C11" t="s">
        <v>5</v>
      </c>
      <c r="K11">
        <f t="shared" si="1"/>
        <v>10</v>
      </c>
      <c r="L11">
        <v>5</v>
      </c>
      <c r="O11" t="s">
        <v>36</v>
      </c>
      <c r="P11" t="s">
        <v>37</v>
      </c>
      <c r="Y11" s="2">
        <v>7</v>
      </c>
      <c r="Z11" s="2" t="s">
        <v>28</v>
      </c>
      <c r="AA11" s="2" t="s">
        <v>22</v>
      </c>
      <c r="AH11" s="2">
        <f t="shared" si="2"/>
        <v>9</v>
      </c>
      <c r="AI11" t="s">
        <v>17</v>
      </c>
      <c r="AJ11" s="2">
        <v>2</v>
      </c>
      <c r="AT11" s="2">
        <f t="shared" si="3"/>
        <v>9</v>
      </c>
      <c r="AU11" s="2">
        <v>16</v>
      </c>
    </row>
    <row r="12" spans="1:51">
      <c r="A12">
        <f t="shared" si="0"/>
        <v>11</v>
      </c>
      <c r="B12" t="s">
        <v>11</v>
      </c>
      <c r="C12" t="s">
        <v>5</v>
      </c>
      <c r="K12">
        <f t="shared" si="1"/>
        <v>11</v>
      </c>
      <c r="L12">
        <v>6</v>
      </c>
      <c r="N12">
        <f>COUNTIF(L2:L101,2)/100</f>
        <v>0.18</v>
      </c>
      <c r="O12">
        <f>COUNTIF(L:L,2)</f>
        <v>18</v>
      </c>
      <c r="P12">
        <f>COUNTIF(L:L,4)</f>
        <v>23</v>
      </c>
      <c r="R12" t="s">
        <v>38</v>
      </c>
      <c r="Y12" s="2">
        <v>8</v>
      </c>
      <c r="Z12" s="2" t="s">
        <v>28</v>
      </c>
      <c r="AA12" s="2" t="s">
        <v>22</v>
      </c>
      <c r="AH12" s="2">
        <f t="shared" si="2"/>
        <v>10</v>
      </c>
      <c r="AI12" t="s">
        <v>17</v>
      </c>
      <c r="AJ12" s="2">
        <v>2</v>
      </c>
      <c r="AT12" s="2">
        <f t="shared" si="3"/>
        <v>10</v>
      </c>
      <c r="AU12" s="2">
        <v>83</v>
      </c>
    </row>
    <row r="13" spans="1:51">
      <c r="A13">
        <f t="shared" si="0"/>
        <v>12</v>
      </c>
      <c r="B13" t="s">
        <v>11</v>
      </c>
      <c r="C13" t="s">
        <v>5</v>
      </c>
      <c r="E13" t="s">
        <v>39</v>
      </c>
      <c r="F13">
        <f>COUNTIFS(B2:B101,"Head",C2:C101,"Head")</f>
        <v>23</v>
      </c>
      <c r="G13" t="s">
        <v>40</v>
      </c>
      <c r="H13">
        <f>F13/100</f>
        <v>0.23</v>
      </c>
      <c r="K13">
        <f t="shared" si="1"/>
        <v>12</v>
      </c>
      <c r="L13">
        <v>6</v>
      </c>
      <c r="Y13" s="2">
        <v>9</v>
      </c>
      <c r="Z13" s="2" t="s">
        <v>21</v>
      </c>
      <c r="AA13" s="2" t="s">
        <v>41</v>
      </c>
      <c r="AH13" s="2">
        <f t="shared" si="2"/>
        <v>11</v>
      </c>
      <c r="AI13" t="s">
        <v>12</v>
      </c>
      <c r="AJ13" s="2">
        <v>6</v>
      </c>
      <c r="AT13" s="2">
        <f t="shared" si="3"/>
        <v>11</v>
      </c>
      <c r="AU13" s="2">
        <v>31</v>
      </c>
    </row>
    <row r="14" spans="1:51">
      <c r="A14">
        <f t="shared" si="0"/>
        <v>13</v>
      </c>
      <c r="B14" t="s">
        <v>11</v>
      </c>
      <c r="C14" t="s">
        <v>11</v>
      </c>
      <c r="E14" t="s">
        <v>42</v>
      </c>
      <c r="F14">
        <f>COUNTIFS(B2:B101,"Tail",C2:C101,"Tail")</f>
        <v>24</v>
      </c>
      <c r="G14" t="s">
        <v>43</v>
      </c>
      <c r="H14">
        <f>F14/100</f>
        <v>0.24</v>
      </c>
      <c r="K14">
        <f t="shared" si="1"/>
        <v>13</v>
      </c>
      <c r="L14">
        <v>5</v>
      </c>
      <c r="Y14" s="2">
        <v>10</v>
      </c>
      <c r="Z14" s="2" t="s">
        <v>21</v>
      </c>
      <c r="AA14" s="2" t="s">
        <v>22</v>
      </c>
      <c r="AH14" s="2">
        <f t="shared" si="2"/>
        <v>12</v>
      </c>
      <c r="AI14" t="s">
        <v>17</v>
      </c>
      <c r="AJ14" s="2">
        <v>1</v>
      </c>
      <c r="AT14" s="2">
        <f t="shared" si="3"/>
        <v>12</v>
      </c>
      <c r="AU14" s="2">
        <v>76</v>
      </c>
    </row>
    <row r="15" spans="1:51">
      <c r="A15">
        <f t="shared" si="0"/>
        <v>14</v>
      </c>
      <c r="B15" t="s">
        <v>11</v>
      </c>
      <c r="C15" t="s">
        <v>11</v>
      </c>
      <c r="E15" t="s">
        <v>44</v>
      </c>
      <c r="F15">
        <f>COUNTIFS(B2:B101,"Head",C2:C101,"Tail")</f>
        <v>29</v>
      </c>
      <c r="G15" t="s">
        <v>45</v>
      </c>
      <c r="H15">
        <f>F15/100</f>
        <v>0.28999999999999998</v>
      </c>
      <c r="K15">
        <f t="shared" si="1"/>
        <v>14</v>
      </c>
      <c r="L15">
        <v>5</v>
      </c>
      <c r="Y15" s="2">
        <v>11</v>
      </c>
      <c r="Z15" s="2" t="s">
        <v>21</v>
      </c>
      <c r="AA15" s="2" t="s">
        <v>41</v>
      </c>
      <c r="AH15" s="2">
        <f t="shared" si="2"/>
        <v>13</v>
      </c>
      <c r="AI15" t="s">
        <v>17</v>
      </c>
      <c r="AJ15" s="2">
        <v>5</v>
      </c>
      <c r="AT15" s="2">
        <f t="shared" si="3"/>
        <v>13</v>
      </c>
      <c r="AU15" s="2">
        <v>46</v>
      </c>
    </row>
    <row r="16" spans="1:51">
      <c r="A16">
        <f t="shared" si="0"/>
        <v>15</v>
      </c>
      <c r="B16" t="s">
        <v>5</v>
      </c>
      <c r="C16" t="s">
        <v>11</v>
      </c>
      <c r="E16" t="s">
        <v>46</v>
      </c>
      <c r="F16">
        <f>COUNTIFS(B2:B101,"Tail",C2:C101,"Head")</f>
        <v>24</v>
      </c>
      <c r="G16" t="s">
        <v>47</v>
      </c>
      <c r="H16">
        <f>F16/100</f>
        <v>0.24</v>
      </c>
      <c r="K16">
        <f t="shared" si="1"/>
        <v>15</v>
      </c>
      <c r="L16">
        <v>2</v>
      </c>
      <c r="O16" t="s">
        <v>48</v>
      </c>
      <c r="Y16" s="2">
        <v>12</v>
      </c>
      <c r="Z16" s="2" t="s">
        <v>28</v>
      </c>
      <c r="AA16" s="2" t="s">
        <v>22</v>
      </c>
      <c r="AH16" s="2">
        <f t="shared" si="2"/>
        <v>14</v>
      </c>
      <c r="AI16" t="s">
        <v>17</v>
      </c>
      <c r="AJ16" s="2">
        <v>6</v>
      </c>
      <c r="AT16" s="2">
        <f t="shared" si="3"/>
        <v>14</v>
      </c>
      <c r="AU16" s="2">
        <v>23</v>
      </c>
    </row>
    <row r="17" spans="1:48">
      <c r="A17">
        <f t="shared" si="0"/>
        <v>16</v>
      </c>
      <c r="B17" t="s">
        <v>11</v>
      </c>
      <c r="C17" t="s">
        <v>5</v>
      </c>
      <c r="K17">
        <f t="shared" si="1"/>
        <v>16</v>
      </c>
      <c r="L17">
        <v>5</v>
      </c>
      <c r="O17">
        <f>O12+P12</f>
        <v>41</v>
      </c>
      <c r="Y17" s="2">
        <v>13</v>
      </c>
      <c r="Z17" s="2" t="s">
        <v>21</v>
      </c>
      <c r="AA17" s="2" t="s">
        <v>22</v>
      </c>
      <c r="AH17" s="2">
        <f t="shared" si="2"/>
        <v>15</v>
      </c>
      <c r="AI17" t="s">
        <v>12</v>
      </c>
      <c r="AJ17" s="2">
        <v>4</v>
      </c>
      <c r="AT17" s="2">
        <f t="shared" si="3"/>
        <v>15</v>
      </c>
      <c r="AU17" s="2">
        <v>19</v>
      </c>
    </row>
    <row r="18" spans="1:48">
      <c r="A18">
        <f t="shared" si="0"/>
        <v>17</v>
      </c>
      <c r="B18" t="s">
        <v>5</v>
      </c>
      <c r="C18" t="s">
        <v>11</v>
      </c>
      <c r="K18">
        <f t="shared" si="1"/>
        <v>17</v>
      </c>
      <c r="L18">
        <v>0</v>
      </c>
      <c r="Y18" s="2">
        <v>14</v>
      </c>
      <c r="Z18" s="2" t="s">
        <v>28</v>
      </c>
      <c r="AA18" s="2" t="s">
        <v>22</v>
      </c>
      <c r="AH18" s="2">
        <f t="shared" si="2"/>
        <v>16</v>
      </c>
      <c r="AI18" t="s">
        <v>12</v>
      </c>
      <c r="AJ18" s="2">
        <v>5</v>
      </c>
      <c r="AT18" s="2">
        <f t="shared" si="3"/>
        <v>16</v>
      </c>
      <c r="AU18" s="2">
        <v>42</v>
      </c>
      <c r="AV18" t="s">
        <v>49</v>
      </c>
    </row>
    <row r="19" spans="1:48">
      <c r="A19">
        <f t="shared" si="0"/>
        <v>18</v>
      </c>
      <c r="B19" t="s">
        <v>11</v>
      </c>
      <c r="C19" t="s">
        <v>11</v>
      </c>
      <c r="K19">
        <f t="shared" si="1"/>
        <v>18</v>
      </c>
      <c r="L19">
        <v>2</v>
      </c>
      <c r="Y19" s="2">
        <v>15</v>
      </c>
      <c r="Z19" s="2" t="s">
        <v>28</v>
      </c>
      <c r="AA19" s="2" t="s">
        <v>41</v>
      </c>
      <c r="AH19" s="2">
        <f t="shared" si="2"/>
        <v>17</v>
      </c>
      <c r="AI19" t="s">
        <v>17</v>
      </c>
      <c r="AJ19" s="2">
        <v>5</v>
      </c>
      <c r="AT19" s="2">
        <f t="shared" si="3"/>
        <v>17</v>
      </c>
      <c r="AU19" s="2">
        <v>100</v>
      </c>
    </row>
    <row r="20" spans="1:48">
      <c r="A20">
        <f t="shared" si="0"/>
        <v>19</v>
      </c>
      <c r="B20" t="s">
        <v>5</v>
      </c>
      <c r="C20" t="s">
        <v>11</v>
      </c>
      <c r="K20">
        <f t="shared" si="1"/>
        <v>19</v>
      </c>
      <c r="L20">
        <v>3</v>
      </c>
      <c r="Y20" s="2">
        <v>16</v>
      </c>
      <c r="Z20" s="2" t="s">
        <v>21</v>
      </c>
      <c r="AA20" s="2" t="s">
        <v>41</v>
      </c>
      <c r="AH20" s="2">
        <f t="shared" si="2"/>
        <v>18</v>
      </c>
      <c r="AI20" t="s">
        <v>17</v>
      </c>
      <c r="AJ20" s="2">
        <v>5</v>
      </c>
      <c r="AT20" s="2">
        <f t="shared" si="3"/>
        <v>18</v>
      </c>
      <c r="AU20" s="2">
        <v>33</v>
      </c>
    </row>
    <row r="21" spans="1:48">
      <c r="A21">
        <f t="shared" si="0"/>
        <v>20</v>
      </c>
      <c r="B21" t="s">
        <v>5</v>
      </c>
      <c r="C21" t="s">
        <v>5</v>
      </c>
      <c r="K21">
        <f t="shared" si="1"/>
        <v>20</v>
      </c>
      <c r="L21">
        <v>6</v>
      </c>
      <c r="Y21" s="2">
        <v>17</v>
      </c>
      <c r="Z21" s="2" t="s">
        <v>28</v>
      </c>
      <c r="AA21" s="2" t="s">
        <v>22</v>
      </c>
      <c r="AH21" s="2">
        <f t="shared" si="2"/>
        <v>19</v>
      </c>
      <c r="AI21" t="s">
        <v>12</v>
      </c>
      <c r="AJ21" s="2">
        <v>2</v>
      </c>
      <c r="AT21" s="2">
        <f t="shared" si="3"/>
        <v>19</v>
      </c>
      <c r="AU21" s="2">
        <v>13</v>
      </c>
    </row>
    <row r="22" spans="1:48">
      <c r="A22">
        <f t="shared" si="0"/>
        <v>21</v>
      </c>
      <c r="B22" t="s">
        <v>11</v>
      </c>
      <c r="C22" t="s">
        <v>5</v>
      </c>
      <c r="K22">
        <f t="shared" si="1"/>
        <v>21</v>
      </c>
      <c r="L22">
        <v>2</v>
      </c>
      <c r="Y22" s="2">
        <v>18</v>
      </c>
      <c r="Z22" s="2" t="s">
        <v>28</v>
      </c>
      <c r="AA22" s="2" t="s">
        <v>41</v>
      </c>
      <c r="AH22" s="2">
        <f t="shared" si="2"/>
        <v>20</v>
      </c>
      <c r="AI22" t="s">
        <v>12</v>
      </c>
      <c r="AJ22" s="2">
        <v>6</v>
      </c>
      <c r="AT22" s="2">
        <f t="shared" si="3"/>
        <v>20</v>
      </c>
      <c r="AU22" s="2">
        <v>68</v>
      </c>
    </row>
    <row r="23" spans="1:48">
      <c r="A23">
        <f t="shared" si="0"/>
        <v>22</v>
      </c>
      <c r="B23" t="s">
        <v>11</v>
      </c>
      <c r="C23" t="s">
        <v>11</v>
      </c>
      <c r="K23">
        <f t="shared" si="1"/>
        <v>22</v>
      </c>
      <c r="L23">
        <v>6</v>
      </c>
      <c r="Y23" s="2">
        <v>19</v>
      </c>
      <c r="Z23" s="2" t="s">
        <v>28</v>
      </c>
      <c r="AA23" s="2" t="s">
        <v>22</v>
      </c>
      <c r="AH23" s="2">
        <f t="shared" si="2"/>
        <v>21</v>
      </c>
      <c r="AI23" t="s">
        <v>12</v>
      </c>
      <c r="AJ23" s="2">
        <v>4</v>
      </c>
      <c r="AT23" s="2">
        <f t="shared" si="3"/>
        <v>21</v>
      </c>
      <c r="AU23" s="2">
        <v>89</v>
      </c>
    </row>
    <row r="24" spans="1:48">
      <c r="A24">
        <f t="shared" si="0"/>
        <v>23</v>
      </c>
      <c r="B24" t="s">
        <v>11</v>
      </c>
      <c r="C24" t="s">
        <v>5</v>
      </c>
      <c r="K24">
        <f t="shared" si="1"/>
        <v>23</v>
      </c>
      <c r="L24">
        <v>5</v>
      </c>
      <c r="Y24" s="2">
        <v>20</v>
      </c>
      <c r="Z24" s="2" t="s">
        <v>28</v>
      </c>
      <c r="AA24" s="2" t="s">
        <v>22</v>
      </c>
      <c r="AH24" s="2">
        <f t="shared" si="2"/>
        <v>22</v>
      </c>
      <c r="AI24" t="s">
        <v>12</v>
      </c>
      <c r="AJ24" s="2">
        <v>5</v>
      </c>
      <c r="AT24" s="2">
        <f t="shared" si="3"/>
        <v>22</v>
      </c>
      <c r="AU24" s="2">
        <v>80</v>
      </c>
    </row>
    <row r="25" spans="1:48">
      <c r="A25">
        <f t="shared" si="0"/>
        <v>24</v>
      </c>
      <c r="B25" t="s">
        <v>5</v>
      </c>
      <c r="C25" t="s">
        <v>5</v>
      </c>
      <c r="K25">
        <f t="shared" si="1"/>
        <v>24</v>
      </c>
      <c r="L25">
        <v>1</v>
      </c>
      <c r="Y25" s="2">
        <v>21</v>
      </c>
      <c r="Z25" s="2" t="s">
        <v>28</v>
      </c>
      <c r="AA25" s="2" t="s">
        <v>22</v>
      </c>
      <c r="AH25" s="2">
        <f t="shared" si="2"/>
        <v>23</v>
      </c>
      <c r="AI25" t="s">
        <v>17</v>
      </c>
      <c r="AJ25" s="2">
        <v>3</v>
      </c>
      <c r="AT25" s="2">
        <f t="shared" si="3"/>
        <v>23</v>
      </c>
      <c r="AU25" s="2">
        <v>20</v>
      </c>
    </row>
    <row r="26" spans="1:48">
      <c r="A26">
        <f t="shared" si="0"/>
        <v>25</v>
      </c>
      <c r="B26" t="s">
        <v>11</v>
      </c>
      <c r="C26" t="s">
        <v>5</v>
      </c>
      <c r="K26">
        <f t="shared" si="1"/>
        <v>25</v>
      </c>
      <c r="L26">
        <v>3</v>
      </c>
      <c r="Y26" s="2">
        <v>22</v>
      </c>
      <c r="Z26" s="2" t="s">
        <v>28</v>
      </c>
      <c r="AA26" s="2" t="s">
        <v>41</v>
      </c>
      <c r="AH26" s="2">
        <f t="shared" si="2"/>
        <v>24</v>
      </c>
      <c r="AI26" t="s">
        <v>12</v>
      </c>
      <c r="AJ26" s="2">
        <v>5</v>
      </c>
      <c r="AT26" s="2">
        <f t="shared" si="3"/>
        <v>24</v>
      </c>
      <c r="AU26" s="2">
        <v>85</v>
      </c>
    </row>
    <row r="27" spans="1:48">
      <c r="A27">
        <f t="shared" si="0"/>
        <v>26</v>
      </c>
      <c r="B27" t="s">
        <v>5</v>
      </c>
      <c r="C27" t="s">
        <v>11</v>
      </c>
      <c r="K27">
        <f t="shared" si="1"/>
        <v>26</v>
      </c>
      <c r="L27">
        <v>4</v>
      </c>
      <c r="Y27" s="2">
        <v>23</v>
      </c>
      <c r="Z27" s="2" t="s">
        <v>28</v>
      </c>
      <c r="AA27" s="2" t="s">
        <v>22</v>
      </c>
      <c r="AH27" s="2">
        <f t="shared" si="2"/>
        <v>25</v>
      </c>
      <c r="AI27" t="s">
        <v>12</v>
      </c>
      <c r="AJ27" s="2">
        <v>6</v>
      </c>
      <c r="AT27" s="2">
        <f t="shared" si="3"/>
        <v>25</v>
      </c>
      <c r="AU27" s="2">
        <v>9</v>
      </c>
    </row>
    <row r="28" spans="1:48">
      <c r="A28">
        <f t="shared" si="0"/>
        <v>27</v>
      </c>
      <c r="B28" t="s">
        <v>5</v>
      </c>
      <c r="C28" t="s">
        <v>5</v>
      </c>
      <c r="K28">
        <f t="shared" si="1"/>
        <v>27</v>
      </c>
      <c r="L28">
        <v>4</v>
      </c>
      <c r="Y28" s="2">
        <v>24</v>
      </c>
      <c r="Z28" s="2" t="s">
        <v>21</v>
      </c>
      <c r="AA28" s="2" t="s">
        <v>41</v>
      </c>
      <c r="AH28" s="2">
        <f t="shared" si="2"/>
        <v>26</v>
      </c>
      <c r="AI28" t="s">
        <v>12</v>
      </c>
      <c r="AJ28" s="2">
        <v>4</v>
      </c>
      <c r="AT28" s="2">
        <f t="shared" si="3"/>
        <v>26</v>
      </c>
      <c r="AU28" s="2">
        <v>63</v>
      </c>
    </row>
    <row r="29" spans="1:48">
      <c r="A29">
        <f t="shared" si="0"/>
        <v>28</v>
      </c>
      <c r="B29" t="s">
        <v>5</v>
      </c>
      <c r="C29" t="s">
        <v>5</v>
      </c>
      <c r="K29">
        <f t="shared" si="1"/>
        <v>28</v>
      </c>
      <c r="L29">
        <v>4</v>
      </c>
      <c r="Y29" s="2">
        <v>25</v>
      </c>
      <c r="Z29" s="2" t="s">
        <v>21</v>
      </c>
      <c r="AA29" s="2" t="s">
        <v>41</v>
      </c>
      <c r="AH29" s="2">
        <f t="shared" si="2"/>
        <v>27</v>
      </c>
      <c r="AI29" t="s">
        <v>12</v>
      </c>
      <c r="AJ29" s="2">
        <v>6</v>
      </c>
      <c r="AT29" s="2">
        <f t="shared" si="3"/>
        <v>27</v>
      </c>
      <c r="AU29" s="2">
        <v>62</v>
      </c>
    </row>
    <row r="30" spans="1:48">
      <c r="A30">
        <f t="shared" si="0"/>
        <v>29</v>
      </c>
      <c r="B30" t="s">
        <v>11</v>
      </c>
      <c r="C30" t="s">
        <v>11</v>
      </c>
      <c r="K30">
        <f t="shared" si="1"/>
        <v>29</v>
      </c>
      <c r="L30">
        <v>1</v>
      </c>
      <c r="Y30" s="2">
        <v>26</v>
      </c>
      <c r="Z30" s="2" t="s">
        <v>21</v>
      </c>
      <c r="AA30" s="2" t="s">
        <v>41</v>
      </c>
      <c r="AH30" s="2">
        <f t="shared" si="2"/>
        <v>28</v>
      </c>
      <c r="AI30" t="s">
        <v>17</v>
      </c>
      <c r="AJ30" s="2">
        <v>4</v>
      </c>
      <c r="AT30" s="2">
        <f t="shared" si="3"/>
        <v>28</v>
      </c>
      <c r="AU30" s="2">
        <v>69</v>
      </c>
    </row>
    <row r="31" spans="1:48">
      <c r="A31">
        <f t="shared" si="0"/>
        <v>30</v>
      </c>
      <c r="B31" t="s">
        <v>11</v>
      </c>
      <c r="C31" t="s">
        <v>5</v>
      </c>
      <c r="K31">
        <f t="shared" si="1"/>
        <v>30</v>
      </c>
      <c r="L31">
        <v>1</v>
      </c>
      <c r="Y31" s="2">
        <v>27</v>
      </c>
      <c r="Z31" s="2" t="s">
        <v>21</v>
      </c>
      <c r="AA31" s="2" t="s">
        <v>22</v>
      </c>
      <c r="AH31" s="2">
        <f t="shared" si="2"/>
        <v>29</v>
      </c>
      <c r="AI31" t="s">
        <v>12</v>
      </c>
      <c r="AJ31" s="2">
        <v>6</v>
      </c>
      <c r="AT31" s="2">
        <f t="shared" si="3"/>
        <v>29</v>
      </c>
      <c r="AU31" s="2">
        <v>91</v>
      </c>
    </row>
    <row r="32" spans="1:48">
      <c r="A32">
        <f t="shared" si="0"/>
        <v>31</v>
      </c>
      <c r="B32" t="s">
        <v>11</v>
      </c>
      <c r="C32" t="s">
        <v>5</v>
      </c>
      <c r="K32">
        <f t="shared" si="1"/>
        <v>31</v>
      </c>
      <c r="L32">
        <v>4</v>
      </c>
      <c r="Y32" s="2">
        <v>28</v>
      </c>
      <c r="Z32" s="2" t="s">
        <v>21</v>
      </c>
      <c r="AA32" s="2" t="s">
        <v>41</v>
      </c>
      <c r="AH32" s="2">
        <f t="shared" si="2"/>
        <v>30</v>
      </c>
      <c r="AI32" t="s">
        <v>12</v>
      </c>
      <c r="AJ32" s="2">
        <v>4</v>
      </c>
      <c r="AT32" s="2">
        <f t="shared" si="3"/>
        <v>30</v>
      </c>
      <c r="AU32" s="2">
        <v>95</v>
      </c>
    </row>
    <row r="33" spans="1:47">
      <c r="A33">
        <f t="shared" si="0"/>
        <v>32</v>
      </c>
      <c r="B33" t="s">
        <v>11</v>
      </c>
      <c r="C33" t="s">
        <v>11</v>
      </c>
      <c r="K33">
        <f t="shared" si="1"/>
        <v>32</v>
      </c>
      <c r="L33">
        <v>6</v>
      </c>
      <c r="Y33" s="2">
        <v>29</v>
      </c>
      <c r="Z33" s="2" t="s">
        <v>21</v>
      </c>
      <c r="AA33" s="2" t="s">
        <v>22</v>
      </c>
      <c r="AH33" s="2">
        <f t="shared" si="2"/>
        <v>31</v>
      </c>
      <c r="AI33" t="s">
        <v>12</v>
      </c>
      <c r="AJ33" s="2">
        <v>1</v>
      </c>
      <c r="AT33" s="2">
        <f t="shared" si="3"/>
        <v>31</v>
      </c>
      <c r="AU33" s="2">
        <v>71</v>
      </c>
    </row>
    <row r="34" spans="1:47">
      <c r="A34">
        <f t="shared" si="0"/>
        <v>33</v>
      </c>
      <c r="B34" t="s">
        <v>11</v>
      </c>
      <c r="C34" t="s">
        <v>5</v>
      </c>
      <c r="K34">
        <f t="shared" si="1"/>
        <v>33</v>
      </c>
      <c r="L34">
        <v>2</v>
      </c>
      <c r="Y34" s="2">
        <v>30</v>
      </c>
      <c r="Z34" s="2" t="s">
        <v>28</v>
      </c>
      <c r="AA34" s="2" t="s">
        <v>41</v>
      </c>
      <c r="AH34" s="2">
        <f t="shared" si="2"/>
        <v>32</v>
      </c>
      <c r="AI34" t="s">
        <v>17</v>
      </c>
      <c r="AJ34" s="2">
        <v>4</v>
      </c>
      <c r="AT34" s="2">
        <f t="shared" si="3"/>
        <v>32</v>
      </c>
      <c r="AU34" s="2">
        <v>74</v>
      </c>
    </row>
    <row r="35" spans="1:47">
      <c r="A35">
        <f t="shared" si="0"/>
        <v>34</v>
      </c>
      <c r="B35" t="s">
        <v>5</v>
      </c>
      <c r="C35" t="s">
        <v>11</v>
      </c>
      <c r="K35">
        <f t="shared" si="1"/>
        <v>34</v>
      </c>
      <c r="L35">
        <v>4</v>
      </c>
      <c r="Y35" s="2">
        <v>31</v>
      </c>
      <c r="Z35" s="2" t="s">
        <v>28</v>
      </c>
      <c r="AA35" s="2" t="s">
        <v>22</v>
      </c>
      <c r="AH35" s="2">
        <f t="shared" si="2"/>
        <v>33</v>
      </c>
      <c r="AI35" t="s">
        <v>12</v>
      </c>
      <c r="AJ35" s="2">
        <v>2</v>
      </c>
      <c r="AT35" s="2">
        <f t="shared" si="3"/>
        <v>33</v>
      </c>
      <c r="AU35" s="2">
        <v>89</v>
      </c>
    </row>
    <row r="36" spans="1:47">
      <c r="A36">
        <f t="shared" si="0"/>
        <v>35</v>
      </c>
      <c r="B36" t="s">
        <v>5</v>
      </c>
      <c r="C36" t="s">
        <v>5</v>
      </c>
      <c r="K36">
        <f t="shared" si="1"/>
        <v>35</v>
      </c>
      <c r="L36">
        <v>1</v>
      </c>
      <c r="Y36" s="2">
        <v>32</v>
      </c>
      <c r="Z36" s="2" t="s">
        <v>28</v>
      </c>
      <c r="AA36" s="2" t="s">
        <v>41</v>
      </c>
      <c r="AH36" s="2">
        <f t="shared" si="2"/>
        <v>34</v>
      </c>
      <c r="AI36" t="s">
        <v>12</v>
      </c>
      <c r="AJ36" s="2">
        <v>1</v>
      </c>
      <c r="AT36" s="2">
        <f t="shared" si="3"/>
        <v>34</v>
      </c>
      <c r="AU36" s="2">
        <v>16</v>
      </c>
    </row>
    <row r="37" spans="1:47">
      <c r="A37">
        <f t="shared" si="0"/>
        <v>36</v>
      </c>
      <c r="B37" t="s">
        <v>5</v>
      </c>
      <c r="C37" t="s">
        <v>11</v>
      </c>
      <c r="K37">
        <f t="shared" si="1"/>
        <v>36</v>
      </c>
      <c r="L37">
        <v>3</v>
      </c>
      <c r="Y37" s="2">
        <v>33</v>
      </c>
      <c r="Z37" s="2" t="s">
        <v>28</v>
      </c>
      <c r="AA37" s="2" t="s">
        <v>41</v>
      </c>
      <c r="AT37" s="2">
        <f t="shared" si="3"/>
        <v>35</v>
      </c>
      <c r="AU37" s="2">
        <v>92</v>
      </c>
    </row>
    <row r="38" spans="1:47">
      <c r="A38">
        <f t="shared" si="0"/>
        <v>37</v>
      </c>
      <c r="B38" t="s">
        <v>5</v>
      </c>
      <c r="C38" t="s">
        <v>5</v>
      </c>
      <c r="K38">
        <f t="shared" si="1"/>
        <v>37</v>
      </c>
      <c r="L38">
        <v>2</v>
      </c>
      <c r="Y38" s="2">
        <v>34</v>
      </c>
      <c r="Z38" s="2" t="s">
        <v>28</v>
      </c>
      <c r="AA38" s="2" t="s">
        <v>41</v>
      </c>
      <c r="AT38" s="2">
        <f t="shared" si="3"/>
        <v>36</v>
      </c>
      <c r="AU38" s="2">
        <v>67</v>
      </c>
    </row>
    <row r="39" spans="1:47">
      <c r="A39">
        <f t="shared" si="0"/>
        <v>38</v>
      </c>
      <c r="B39" t="s">
        <v>11</v>
      </c>
      <c r="C39" t="s">
        <v>5</v>
      </c>
      <c r="K39">
        <f t="shared" si="1"/>
        <v>38</v>
      </c>
      <c r="L39">
        <v>1</v>
      </c>
      <c r="Y39" s="2">
        <v>35</v>
      </c>
      <c r="Z39" s="2" t="s">
        <v>21</v>
      </c>
      <c r="AA39" s="2" t="s">
        <v>22</v>
      </c>
      <c r="AT39" s="2">
        <f t="shared" si="3"/>
        <v>37</v>
      </c>
      <c r="AU39" s="2">
        <v>65</v>
      </c>
    </row>
    <row r="40" spans="1:47">
      <c r="A40">
        <f t="shared" si="0"/>
        <v>39</v>
      </c>
      <c r="B40" t="s">
        <v>11</v>
      </c>
      <c r="C40" t="s">
        <v>11</v>
      </c>
      <c r="K40">
        <f t="shared" si="1"/>
        <v>39</v>
      </c>
      <c r="L40">
        <v>2</v>
      </c>
      <c r="Y40" s="2">
        <v>36</v>
      </c>
      <c r="Z40" s="2" t="s">
        <v>28</v>
      </c>
      <c r="AA40" s="2" t="s">
        <v>41</v>
      </c>
      <c r="AT40" s="2">
        <f t="shared" si="3"/>
        <v>38</v>
      </c>
      <c r="AU40" s="2">
        <v>91</v>
      </c>
    </row>
    <row r="41" spans="1:47">
      <c r="A41">
        <f t="shared" si="0"/>
        <v>40</v>
      </c>
      <c r="B41" t="s">
        <v>11</v>
      </c>
      <c r="C41" t="s">
        <v>5</v>
      </c>
      <c r="K41">
        <f t="shared" si="1"/>
        <v>40</v>
      </c>
      <c r="L41">
        <v>5</v>
      </c>
      <c r="Y41" s="2">
        <v>37</v>
      </c>
      <c r="Z41" s="2" t="s">
        <v>21</v>
      </c>
      <c r="AA41" s="2" t="s">
        <v>41</v>
      </c>
      <c r="AT41" s="2">
        <f t="shared" si="3"/>
        <v>39</v>
      </c>
      <c r="AU41" s="2">
        <v>91</v>
      </c>
    </row>
    <row r="42" spans="1:47">
      <c r="A42">
        <f t="shared" si="0"/>
        <v>41</v>
      </c>
      <c r="B42" t="s">
        <v>11</v>
      </c>
      <c r="C42" t="s">
        <v>11</v>
      </c>
      <c r="K42">
        <f t="shared" si="1"/>
        <v>41</v>
      </c>
      <c r="L42">
        <v>4</v>
      </c>
      <c r="Y42" s="2">
        <v>38</v>
      </c>
      <c r="Z42" s="2" t="s">
        <v>28</v>
      </c>
      <c r="AA42" s="2" t="s">
        <v>22</v>
      </c>
      <c r="AT42" s="2">
        <f t="shared" si="3"/>
        <v>40</v>
      </c>
      <c r="AU42" s="2">
        <v>60</v>
      </c>
    </row>
    <row r="43" spans="1:47">
      <c r="A43">
        <f t="shared" si="0"/>
        <v>42</v>
      </c>
      <c r="B43" t="s">
        <v>11</v>
      </c>
      <c r="C43" t="s">
        <v>11</v>
      </c>
      <c r="K43">
        <f t="shared" si="1"/>
        <v>42</v>
      </c>
      <c r="L43">
        <v>3</v>
      </c>
      <c r="Y43" s="2">
        <v>39</v>
      </c>
      <c r="Z43" s="2" t="s">
        <v>28</v>
      </c>
      <c r="AA43" s="2" t="s">
        <v>22</v>
      </c>
      <c r="AT43" s="2">
        <f t="shared" si="3"/>
        <v>41</v>
      </c>
      <c r="AU43" s="2">
        <v>45</v>
      </c>
    </row>
    <row r="44" spans="1:47">
      <c r="A44">
        <f t="shared" si="0"/>
        <v>43</v>
      </c>
      <c r="B44" t="s">
        <v>5</v>
      </c>
      <c r="C44" t="s">
        <v>11</v>
      </c>
      <c r="K44">
        <f t="shared" si="1"/>
        <v>43</v>
      </c>
      <c r="L44">
        <v>1</v>
      </c>
      <c r="Y44" s="2">
        <v>40</v>
      </c>
      <c r="Z44" s="2" t="s">
        <v>28</v>
      </c>
      <c r="AA44" s="2" t="s">
        <v>41</v>
      </c>
      <c r="AT44" s="2">
        <f t="shared" si="3"/>
        <v>42</v>
      </c>
      <c r="AU44" s="2">
        <v>77</v>
      </c>
    </row>
    <row r="45" spans="1:47">
      <c r="A45">
        <f t="shared" si="0"/>
        <v>44</v>
      </c>
      <c r="B45" t="s">
        <v>11</v>
      </c>
      <c r="C45" t="s">
        <v>5</v>
      </c>
      <c r="K45">
        <f t="shared" si="1"/>
        <v>44</v>
      </c>
      <c r="L45">
        <v>3</v>
      </c>
      <c r="Y45" s="2">
        <v>41</v>
      </c>
      <c r="Z45" s="2" t="s">
        <v>28</v>
      </c>
      <c r="AA45" s="2" t="s">
        <v>41</v>
      </c>
      <c r="AT45" s="2">
        <f t="shared" si="3"/>
        <v>43</v>
      </c>
      <c r="AU45" s="2">
        <v>28</v>
      </c>
    </row>
    <row r="46" spans="1:47">
      <c r="A46">
        <f t="shared" si="0"/>
        <v>45</v>
      </c>
      <c r="B46" t="s">
        <v>5</v>
      </c>
      <c r="C46" t="s">
        <v>11</v>
      </c>
      <c r="K46">
        <f t="shared" si="1"/>
        <v>45</v>
      </c>
      <c r="L46">
        <v>4</v>
      </c>
      <c r="Y46" s="2">
        <v>42</v>
      </c>
      <c r="Z46" s="2" t="s">
        <v>21</v>
      </c>
      <c r="AA46" s="2" t="s">
        <v>41</v>
      </c>
      <c r="AT46" s="2">
        <f t="shared" si="3"/>
        <v>44</v>
      </c>
      <c r="AU46" s="2">
        <v>50</v>
      </c>
    </row>
    <row r="47" spans="1:47">
      <c r="A47">
        <f t="shared" si="0"/>
        <v>46</v>
      </c>
      <c r="B47" t="s">
        <v>5</v>
      </c>
      <c r="C47" t="s">
        <v>5</v>
      </c>
      <c r="K47">
        <f t="shared" si="1"/>
        <v>46</v>
      </c>
      <c r="L47">
        <v>1</v>
      </c>
      <c r="Y47" s="2">
        <v>43</v>
      </c>
      <c r="Z47" s="2" t="s">
        <v>28</v>
      </c>
      <c r="AA47" s="2" t="s">
        <v>22</v>
      </c>
      <c r="AT47" s="2">
        <f t="shared" si="3"/>
        <v>45</v>
      </c>
      <c r="AU47" s="2">
        <v>48</v>
      </c>
    </row>
    <row r="48" spans="1:47">
      <c r="A48">
        <f t="shared" si="0"/>
        <v>47</v>
      </c>
      <c r="B48" t="s">
        <v>5</v>
      </c>
      <c r="C48" t="s">
        <v>11</v>
      </c>
      <c r="K48">
        <f t="shared" si="1"/>
        <v>47</v>
      </c>
      <c r="L48">
        <v>0</v>
      </c>
      <c r="Y48" s="2">
        <v>44</v>
      </c>
      <c r="Z48" s="2" t="s">
        <v>28</v>
      </c>
      <c r="AA48" s="2" t="s">
        <v>22</v>
      </c>
      <c r="AT48" s="2">
        <f t="shared" si="3"/>
        <v>46</v>
      </c>
      <c r="AU48" s="2">
        <v>65</v>
      </c>
    </row>
    <row r="49" spans="1:47">
      <c r="A49">
        <f t="shared" si="0"/>
        <v>48</v>
      </c>
      <c r="B49" t="s">
        <v>11</v>
      </c>
      <c r="C49" t="s">
        <v>11</v>
      </c>
      <c r="K49">
        <f t="shared" si="1"/>
        <v>48</v>
      </c>
      <c r="L49">
        <v>3</v>
      </c>
      <c r="Y49" s="2">
        <v>45</v>
      </c>
      <c r="Z49" s="2" t="s">
        <v>21</v>
      </c>
      <c r="AA49" s="2" t="s">
        <v>41</v>
      </c>
      <c r="AT49" s="2">
        <f t="shared" si="3"/>
        <v>47</v>
      </c>
      <c r="AU49" s="2">
        <v>40</v>
      </c>
    </row>
    <row r="50" spans="1:47">
      <c r="A50">
        <f t="shared" si="0"/>
        <v>49</v>
      </c>
      <c r="B50" t="s">
        <v>5</v>
      </c>
      <c r="C50" t="s">
        <v>11</v>
      </c>
      <c r="K50">
        <f t="shared" si="1"/>
        <v>49</v>
      </c>
      <c r="L50">
        <v>2</v>
      </c>
      <c r="Y50" s="2">
        <v>46</v>
      </c>
      <c r="Z50" s="2" t="s">
        <v>28</v>
      </c>
      <c r="AA50" s="2" t="s">
        <v>41</v>
      </c>
      <c r="AT50" s="2">
        <f t="shared" si="3"/>
        <v>48</v>
      </c>
      <c r="AU50" s="2">
        <v>64</v>
      </c>
    </row>
    <row r="51" spans="1:47">
      <c r="A51">
        <f t="shared" si="0"/>
        <v>50</v>
      </c>
      <c r="B51" t="s">
        <v>11</v>
      </c>
      <c r="C51" t="s">
        <v>5</v>
      </c>
      <c r="K51">
        <f t="shared" si="1"/>
        <v>50</v>
      </c>
      <c r="L51">
        <v>4</v>
      </c>
      <c r="Y51" s="2">
        <v>47</v>
      </c>
      <c r="Z51" s="2" t="s">
        <v>28</v>
      </c>
      <c r="AA51" s="2" t="s">
        <v>41</v>
      </c>
      <c r="AT51" s="2">
        <f t="shared" si="3"/>
        <v>49</v>
      </c>
      <c r="AU51" s="2">
        <v>26</v>
      </c>
    </row>
    <row r="52" spans="1:47">
      <c r="A52">
        <f t="shared" si="0"/>
        <v>51</v>
      </c>
      <c r="B52" t="s">
        <v>11</v>
      </c>
      <c r="C52" t="s">
        <v>5</v>
      </c>
      <c r="K52">
        <f t="shared" si="1"/>
        <v>51</v>
      </c>
      <c r="L52">
        <v>6</v>
      </c>
      <c r="Y52" s="2">
        <v>48</v>
      </c>
      <c r="Z52" s="2" t="s">
        <v>28</v>
      </c>
      <c r="AA52" s="2" t="s">
        <v>41</v>
      </c>
      <c r="AT52" s="2">
        <f t="shared" si="3"/>
        <v>50</v>
      </c>
      <c r="AU52" s="2">
        <v>54</v>
      </c>
    </row>
    <row r="53" spans="1:47">
      <c r="A53">
        <f t="shared" si="0"/>
        <v>52</v>
      </c>
      <c r="B53" t="s">
        <v>5</v>
      </c>
      <c r="C53" t="s">
        <v>11</v>
      </c>
      <c r="K53">
        <f t="shared" si="1"/>
        <v>52</v>
      </c>
      <c r="L53">
        <v>1</v>
      </c>
      <c r="Y53" s="2">
        <v>49</v>
      </c>
      <c r="Z53" s="2" t="s">
        <v>28</v>
      </c>
      <c r="AA53" s="2" t="s">
        <v>41</v>
      </c>
      <c r="AT53" s="2">
        <f t="shared" si="3"/>
        <v>51</v>
      </c>
      <c r="AU53" s="2">
        <v>24</v>
      </c>
    </row>
    <row r="54" spans="1:47">
      <c r="A54">
        <f t="shared" si="0"/>
        <v>53</v>
      </c>
      <c r="B54" t="s">
        <v>11</v>
      </c>
      <c r="C54" t="s">
        <v>5</v>
      </c>
      <c r="K54">
        <f t="shared" si="1"/>
        <v>53</v>
      </c>
      <c r="L54">
        <v>3</v>
      </c>
      <c r="Y54" s="2">
        <v>50</v>
      </c>
      <c r="Z54" s="2" t="s">
        <v>21</v>
      </c>
      <c r="AA54" s="2" t="s">
        <v>41</v>
      </c>
      <c r="AT54" s="2">
        <f t="shared" si="3"/>
        <v>52</v>
      </c>
      <c r="AU54" s="2">
        <v>35</v>
      </c>
    </row>
    <row r="55" spans="1:47">
      <c r="A55">
        <f t="shared" si="0"/>
        <v>54</v>
      </c>
      <c r="B55" t="s">
        <v>11</v>
      </c>
      <c r="C55" t="s">
        <v>11</v>
      </c>
      <c r="K55">
        <f t="shared" si="1"/>
        <v>54</v>
      </c>
      <c r="L55">
        <v>4</v>
      </c>
      <c r="Y55" s="2">
        <v>51</v>
      </c>
      <c r="Z55" s="2" t="s">
        <v>21</v>
      </c>
      <c r="AA55" s="2" t="s">
        <v>41</v>
      </c>
      <c r="AT55" s="2">
        <f t="shared" si="3"/>
        <v>53</v>
      </c>
      <c r="AU55" s="2">
        <v>55</v>
      </c>
    </row>
    <row r="56" spans="1:47">
      <c r="A56">
        <f t="shared" si="0"/>
        <v>55</v>
      </c>
      <c r="B56" t="s">
        <v>5</v>
      </c>
      <c r="C56" t="s">
        <v>5</v>
      </c>
      <c r="K56">
        <f t="shared" si="1"/>
        <v>55</v>
      </c>
      <c r="L56">
        <v>4</v>
      </c>
      <c r="Y56" s="2">
        <v>52</v>
      </c>
      <c r="Z56" s="2" t="s">
        <v>28</v>
      </c>
      <c r="AA56" s="2" t="s">
        <v>22</v>
      </c>
      <c r="AT56" s="2">
        <f t="shared" si="3"/>
        <v>54</v>
      </c>
      <c r="AU56" s="2">
        <v>80</v>
      </c>
    </row>
    <row r="57" spans="1:47">
      <c r="A57">
        <f t="shared" si="0"/>
        <v>56</v>
      </c>
      <c r="B57" t="s">
        <v>11</v>
      </c>
      <c r="C57" t="s">
        <v>5</v>
      </c>
      <c r="K57">
        <f t="shared" si="1"/>
        <v>56</v>
      </c>
      <c r="L57">
        <v>4</v>
      </c>
      <c r="Y57" s="2">
        <v>53</v>
      </c>
      <c r="Z57" s="2" t="s">
        <v>28</v>
      </c>
      <c r="AA57" s="2" t="s">
        <v>41</v>
      </c>
      <c r="AT57" s="2">
        <f t="shared" si="3"/>
        <v>55</v>
      </c>
      <c r="AU57" s="2">
        <v>1</v>
      </c>
    </row>
    <row r="58" spans="1:47">
      <c r="A58">
        <f t="shared" si="0"/>
        <v>57</v>
      </c>
      <c r="B58" t="s">
        <v>11</v>
      </c>
      <c r="C58" t="s">
        <v>5</v>
      </c>
      <c r="K58">
        <f t="shared" si="1"/>
        <v>57</v>
      </c>
      <c r="L58">
        <v>0</v>
      </c>
      <c r="Y58" s="2">
        <v>54</v>
      </c>
      <c r="Z58" s="2" t="s">
        <v>21</v>
      </c>
      <c r="AA58" s="2" t="s">
        <v>41</v>
      </c>
      <c r="AT58" s="2">
        <f t="shared" si="3"/>
        <v>56</v>
      </c>
      <c r="AU58" s="2">
        <v>66</v>
      </c>
    </row>
    <row r="59" spans="1:47">
      <c r="A59">
        <f t="shared" si="0"/>
        <v>58</v>
      </c>
      <c r="B59" t="s">
        <v>5</v>
      </c>
      <c r="C59" t="s">
        <v>11</v>
      </c>
      <c r="K59">
        <f t="shared" si="1"/>
        <v>58</v>
      </c>
      <c r="L59">
        <v>4</v>
      </c>
      <c r="Y59" s="2">
        <v>55</v>
      </c>
      <c r="Z59" s="2" t="s">
        <v>21</v>
      </c>
      <c r="AA59" s="2" t="s">
        <v>41</v>
      </c>
      <c r="AT59" s="2">
        <f t="shared" si="3"/>
        <v>57</v>
      </c>
      <c r="AU59" s="2">
        <v>8</v>
      </c>
    </row>
    <row r="60" spans="1:47">
      <c r="A60">
        <f t="shared" si="0"/>
        <v>59</v>
      </c>
      <c r="B60" t="s">
        <v>5</v>
      </c>
      <c r="C60" t="s">
        <v>5</v>
      </c>
      <c r="K60">
        <f t="shared" si="1"/>
        <v>59</v>
      </c>
      <c r="L60">
        <v>0</v>
      </c>
      <c r="Y60" s="2">
        <v>56</v>
      </c>
      <c r="Z60" s="2" t="s">
        <v>28</v>
      </c>
      <c r="AA60" s="2" t="s">
        <v>41</v>
      </c>
      <c r="AT60" s="2">
        <f t="shared" si="3"/>
        <v>58</v>
      </c>
      <c r="AU60" s="2">
        <v>96</v>
      </c>
    </row>
    <row r="61" spans="1:47">
      <c r="A61">
        <f t="shared" si="0"/>
        <v>60</v>
      </c>
      <c r="B61" t="s">
        <v>11</v>
      </c>
      <c r="C61" t="s">
        <v>5</v>
      </c>
      <c r="K61">
        <f t="shared" si="1"/>
        <v>60</v>
      </c>
      <c r="L61">
        <v>1</v>
      </c>
      <c r="Y61" s="2">
        <v>57</v>
      </c>
      <c r="Z61" s="2" t="s">
        <v>28</v>
      </c>
      <c r="AA61" s="2" t="s">
        <v>22</v>
      </c>
      <c r="AT61" s="2">
        <f t="shared" si="3"/>
        <v>59</v>
      </c>
      <c r="AU61" s="2">
        <v>21</v>
      </c>
    </row>
    <row r="62" spans="1:47">
      <c r="A62">
        <f t="shared" si="0"/>
        <v>61</v>
      </c>
      <c r="B62" t="s">
        <v>11</v>
      </c>
      <c r="C62" t="s">
        <v>5</v>
      </c>
      <c r="K62">
        <f t="shared" si="1"/>
        <v>61</v>
      </c>
      <c r="L62">
        <v>2</v>
      </c>
      <c r="Y62" s="2">
        <v>58</v>
      </c>
      <c r="Z62" s="2" t="s">
        <v>28</v>
      </c>
      <c r="AA62" s="2" t="s">
        <v>22</v>
      </c>
      <c r="AT62" s="2">
        <f t="shared" si="3"/>
        <v>60</v>
      </c>
      <c r="AU62" s="2">
        <v>76</v>
      </c>
    </row>
    <row r="63" spans="1:47">
      <c r="A63">
        <f t="shared" si="0"/>
        <v>62</v>
      </c>
      <c r="B63" t="s">
        <v>5</v>
      </c>
      <c r="C63" t="s">
        <v>11</v>
      </c>
      <c r="K63">
        <f t="shared" si="1"/>
        <v>62</v>
      </c>
      <c r="L63">
        <v>4</v>
      </c>
      <c r="Y63" s="2">
        <v>59</v>
      </c>
      <c r="Z63" s="2" t="s">
        <v>21</v>
      </c>
      <c r="AA63" s="2" t="s">
        <v>41</v>
      </c>
      <c r="AT63" s="2">
        <f t="shared" si="3"/>
        <v>61</v>
      </c>
      <c r="AU63" s="2">
        <v>74</v>
      </c>
    </row>
    <row r="64" spans="1:47">
      <c r="A64">
        <f t="shared" si="0"/>
        <v>63</v>
      </c>
      <c r="B64" t="s">
        <v>11</v>
      </c>
      <c r="C64" t="s">
        <v>5</v>
      </c>
      <c r="K64">
        <f t="shared" si="1"/>
        <v>63</v>
      </c>
      <c r="L64">
        <v>2</v>
      </c>
      <c r="Y64" s="2">
        <v>60</v>
      </c>
      <c r="Z64" s="2" t="s">
        <v>21</v>
      </c>
      <c r="AA64" s="2" t="s">
        <v>41</v>
      </c>
      <c r="AT64" s="2">
        <f t="shared" si="3"/>
        <v>62</v>
      </c>
      <c r="AU64" s="2">
        <v>60</v>
      </c>
    </row>
    <row r="65" spans="1:47">
      <c r="A65">
        <f t="shared" si="0"/>
        <v>64</v>
      </c>
      <c r="B65" t="s">
        <v>5</v>
      </c>
      <c r="C65" t="s">
        <v>11</v>
      </c>
      <c r="K65">
        <f t="shared" si="1"/>
        <v>64</v>
      </c>
      <c r="L65">
        <v>3</v>
      </c>
      <c r="Y65" s="2">
        <v>61</v>
      </c>
      <c r="Z65" s="2" t="s">
        <v>21</v>
      </c>
      <c r="AA65" s="2" t="s">
        <v>41</v>
      </c>
      <c r="AT65" s="2">
        <f t="shared" si="3"/>
        <v>63</v>
      </c>
      <c r="AU65" s="2">
        <v>46</v>
      </c>
    </row>
    <row r="66" spans="1:47">
      <c r="A66">
        <f t="shared" si="0"/>
        <v>65</v>
      </c>
      <c r="B66" t="s">
        <v>11</v>
      </c>
      <c r="C66" t="s">
        <v>11</v>
      </c>
      <c r="K66">
        <f t="shared" si="1"/>
        <v>65</v>
      </c>
      <c r="L66">
        <v>0</v>
      </c>
      <c r="Y66" s="2">
        <v>62</v>
      </c>
      <c r="Z66" s="2" t="s">
        <v>28</v>
      </c>
      <c r="AA66" s="2" t="s">
        <v>41</v>
      </c>
      <c r="AT66" s="2">
        <f t="shared" si="3"/>
        <v>64</v>
      </c>
      <c r="AU66" s="2">
        <v>36</v>
      </c>
    </row>
    <row r="67" spans="1:47">
      <c r="A67">
        <f t="shared" si="0"/>
        <v>66</v>
      </c>
      <c r="B67" t="s">
        <v>11</v>
      </c>
      <c r="C67" t="s">
        <v>5</v>
      </c>
      <c r="K67">
        <f t="shared" si="1"/>
        <v>66</v>
      </c>
      <c r="L67">
        <v>4</v>
      </c>
      <c r="Y67" s="2">
        <v>63</v>
      </c>
      <c r="Z67" s="2" t="s">
        <v>28</v>
      </c>
      <c r="AA67" s="2" t="s">
        <v>41</v>
      </c>
      <c r="AT67" s="2">
        <f t="shared" si="3"/>
        <v>65</v>
      </c>
      <c r="AU67" s="2">
        <v>51</v>
      </c>
    </row>
    <row r="68" spans="1:47">
      <c r="A68">
        <f t="shared" ref="A68:A101" si="4">A67+1</f>
        <v>67</v>
      </c>
      <c r="B68" t="s">
        <v>11</v>
      </c>
      <c r="C68" t="s">
        <v>11</v>
      </c>
      <c r="K68">
        <f t="shared" ref="K68:K101" si="5">1+K67</f>
        <v>67</v>
      </c>
      <c r="L68">
        <v>2</v>
      </c>
      <c r="Y68" s="2">
        <v>64</v>
      </c>
      <c r="Z68" s="2" t="s">
        <v>21</v>
      </c>
      <c r="AA68" s="2" t="s">
        <v>41</v>
      </c>
      <c r="AT68" s="2">
        <f t="shared" si="3"/>
        <v>66</v>
      </c>
      <c r="AU68" s="2">
        <v>53</v>
      </c>
    </row>
    <row r="69" spans="1:47">
      <c r="A69">
        <f t="shared" si="4"/>
        <v>68</v>
      </c>
      <c r="B69" t="s">
        <v>5</v>
      </c>
      <c r="C69" t="s">
        <v>5</v>
      </c>
      <c r="K69">
        <f t="shared" si="5"/>
        <v>68</v>
      </c>
      <c r="L69">
        <v>2</v>
      </c>
      <c r="Y69" s="2">
        <v>65</v>
      </c>
      <c r="Z69" s="2" t="s">
        <v>28</v>
      </c>
      <c r="AA69" s="2" t="s">
        <v>22</v>
      </c>
      <c r="AT69" s="2">
        <f t="shared" ref="AT69:AT99" si="6">1+AT68</f>
        <v>67</v>
      </c>
      <c r="AU69" s="2">
        <v>94</v>
      </c>
    </row>
    <row r="70" spans="1:47">
      <c r="A70">
        <f t="shared" si="4"/>
        <v>69</v>
      </c>
      <c r="B70" t="s">
        <v>5</v>
      </c>
      <c r="C70" t="s">
        <v>11</v>
      </c>
      <c r="K70">
        <f t="shared" si="5"/>
        <v>69</v>
      </c>
      <c r="L70">
        <v>2</v>
      </c>
      <c r="Y70" s="2">
        <v>66</v>
      </c>
      <c r="Z70" s="2" t="s">
        <v>28</v>
      </c>
      <c r="AA70" s="2" t="s">
        <v>22</v>
      </c>
      <c r="AT70" s="2">
        <f t="shared" si="6"/>
        <v>68</v>
      </c>
      <c r="AU70" s="2">
        <v>76</v>
      </c>
    </row>
    <row r="71" spans="1:47">
      <c r="A71">
        <f t="shared" si="4"/>
        <v>70</v>
      </c>
      <c r="B71" t="s">
        <v>11</v>
      </c>
      <c r="C71" t="s">
        <v>11</v>
      </c>
      <c r="K71">
        <f t="shared" si="5"/>
        <v>70</v>
      </c>
      <c r="L71">
        <v>4</v>
      </c>
      <c r="Y71" s="2">
        <v>67</v>
      </c>
      <c r="Z71" s="2" t="s">
        <v>28</v>
      </c>
      <c r="AA71" s="2" t="s">
        <v>41</v>
      </c>
      <c r="AT71" s="2">
        <f t="shared" si="6"/>
        <v>69</v>
      </c>
      <c r="AU71" s="2">
        <v>38</v>
      </c>
    </row>
    <row r="72" spans="1:47">
      <c r="A72">
        <f t="shared" si="4"/>
        <v>71</v>
      </c>
      <c r="B72" t="s">
        <v>5</v>
      </c>
      <c r="C72" t="s">
        <v>5</v>
      </c>
      <c r="K72">
        <f t="shared" si="5"/>
        <v>71</v>
      </c>
      <c r="L72">
        <v>2</v>
      </c>
      <c r="Y72" s="2">
        <v>68</v>
      </c>
      <c r="Z72" s="2" t="s">
        <v>28</v>
      </c>
      <c r="AA72" s="2" t="s">
        <v>41</v>
      </c>
      <c r="AT72" s="2">
        <f t="shared" si="6"/>
        <v>70</v>
      </c>
      <c r="AU72" s="2">
        <v>30</v>
      </c>
    </row>
    <row r="73" spans="1:47">
      <c r="A73">
        <f t="shared" si="4"/>
        <v>72</v>
      </c>
      <c r="B73" t="s">
        <v>5</v>
      </c>
      <c r="C73" t="s">
        <v>5</v>
      </c>
      <c r="K73">
        <f t="shared" si="5"/>
        <v>72</v>
      </c>
      <c r="L73">
        <v>5</v>
      </c>
      <c r="Y73" s="2">
        <v>69</v>
      </c>
      <c r="Z73" s="2" t="s">
        <v>21</v>
      </c>
      <c r="AA73" s="2" t="s">
        <v>22</v>
      </c>
      <c r="AT73" s="2">
        <f t="shared" si="6"/>
        <v>71</v>
      </c>
      <c r="AU73" s="2">
        <v>57</v>
      </c>
    </row>
    <row r="74" spans="1:47">
      <c r="A74">
        <f t="shared" si="4"/>
        <v>73</v>
      </c>
      <c r="B74" t="s">
        <v>11</v>
      </c>
      <c r="C74" t="s">
        <v>5</v>
      </c>
      <c r="K74">
        <f t="shared" si="5"/>
        <v>73</v>
      </c>
      <c r="L74">
        <v>0</v>
      </c>
      <c r="Y74" s="2">
        <v>70</v>
      </c>
      <c r="Z74" s="2" t="s">
        <v>28</v>
      </c>
      <c r="AA74" s="2" t="s">
        <v>41</v>
      </c>
      <c r="AT74" s="2">
        <f t="shared" si="6"/>
        <v>72</v>
      </c>
      <c r="AU74" s="2">
        <v>36</v>
      </c>
    </row>
    <row r="75" spans="1:47">
      <c r="A75">
        <f t="shared" si="4"/>
        <v>74</v>
      </c>
      <c r="B75" t="s">
        <v>5</v>
      </c>
      <c r="C75" t="s">
        <v>5</v>
      </c>
      <c r="K75">
        <f t="shared" si="5"/>
        <v>74</v>
      </c>
      <c r="L75">
        <v>4</v>
      </c>
      <c r="Y75" s="2">
        <v>71</v>
      </c>
      <c r="Z75" s="2" t="s">
        <v>21</v>
      </c>
      <c r="AA75" s="2" t="s">
        <v>22</v>
      </c>
      <c r="AT75" s="2">
        <f t="shared" si="6"/>
        <v>73</v>
      </c>
      <c r="AU75" s="2">
        <v>43</v>
      </c>
    </row>
    <row r="76" spans="1:47">
      <c r="A76">
        <f t="shared" si="4"/>
        <v>75</v>
      </c>
      <c r="B76" t="s">
        <v>5</v>
      </c>
      <c r="C76" t="s">
        <v>5</v>
      </c>
      <c r="K76">
        <f t="shared" si="5"/>
        <v>75</v>
      </c>
      <c r="L76">
        <v>3</v>
      </c>
      <c r="Y76" s="2">
        <v>72</v>
      </c>
      <c r="Z76" s="2" t="s">
        <v>28</v>
      </c>
      <c r="AA76" s="2" t="s">
        <v>22</v>
      </c>
      <c r="AT76" s="2">
        <f t="shared" si="6"/>
        <v>74</v>
      </c>
      <c r="AU76" s="2">
        <v>98</v>
      </c>
    </row>
    <row r="77" spans="1:47">
      <c r="A77">
        <f t="shared" si="4"/>
        <v>76</v>
      </c>
      <c r="B77" t="s">
        <v>11</v>
      </c>
      <c r="C77" t="s">
        <v>5</v>
      </c>
      <c r="K77">
        <f t="shared" si="5"/>
        <v>76</v>
      </c>
      <c r="L77">
        <v>6</v>
      </c>
      <c r="Y77" s="2">
        <v>73</v>
      </c>
      <c r="Z77" s="2" t="s">
        <v>28</v>
      </c>
      <c r="AA77" s="2" t="s">
        <v>41</v>
      </c>
      <c r="AT77" s="2">
        <f t="shared" si="6"/>
        <v>75</v>
      </c>
      <c r="AU77" s="2">
        <v>90</v>
      </c>
    </row>
    <row r="78" spans="1:47">
      <c r="A78">
        <f t="shared" si="4"/>
        <v>77</v>
      </c>
      <c r="B78" t="s">
        <v>5</v>
      </c>
      <c r="C78" t="s">
        <v>5</v>
      </c>
      <c r="K78">
        <f t="shared" si="5"/>
        <v>77</v>
      </c>
      <c r="L78">
        <v>5</v>
      </c>
      <c r="Y78" s="2">
        <v>74</v>
      </c>
      <c r="Z78" s="2" t="s">
        <v>28</v>
      </c>
      <c r="AA78" s="2" t="s">
        <v>22</v>
      </c>
      <c r="AT78" s="2">
        <f t="shared" si="6"/>
        <v>76</v>
      </c>
      <c r="AU78" s="2">
        <v>2</v>
      </c>
    </row>
    <row r="79" spans="1:47">
      <c r="A79">
        <f t="shared" si="4"/>
        <v>78</v>
      </c>
      <c r="B79" t="s">
        <v>11</v>
      </c>
      <c r="C79" t="s">
        <v>11</v>
      </c>
      <c r="K79">
        <f t="shared" si="5"/>
        <v>78</v>
      </c>
      <c r="L79">
        <v>3</v>
      </c>
      <c r="Y79" s="2">
        <v>75</v>
      </c>
      <c r="Z79" s="2" t="s">
        <v>21</v>
      </c>
      <c r="AA79" s="2" t="s">
        <v>22</v>
      </c>
      <c r="AT79" s="2">
        <f t="shared" si="6"/>
        <v>77</v>
      </c>
      <c r="AU79" s="2">
        <v>50</v>
      </c>
    </row>
    <row r="80" spans="1:47">
      <c r="A80">
        <f t="shared" si="4"/>
        <v>79</v>
      </c>
      <c r="B80" t="s">
        <v>5</v>
      </c>
      <c r="C80" t="s">
        <v>5</v>
      </c>
      <c r="K80">
        <f t="shared" si="5"/>
        <v>79</v>
      </c>
      <c r="L80">
        <v>4</v>
      </c>
      <c r="Y80" s="2">
        <v>76</v>
      </c>
      <c r="Z80" s="2" t="s">
        <v>28</v>
      </c>
      <c r="AA80" s="2" t="s">
        <v>41</v>
      </c>
      <c r="AT80" s="2">
        <f t="shared" si="6"/>
        <v>78</v>
      </c>
      <c r="AU80" s="2">
        <v>69</v>
      </c>
    </row>
    <row r="81" spans="1:47">
      <c r="A81">
        <f t="shared" si="4"/>
        <v>80</v>
      </c>
      <c r="B81" t="s">
        <v>11</v>
      </c>
      <c r="C81" t="s">
        <v>5</v>
      </c>
      <c r="K81">
        <f t="shared" si="5"/>
        <v>80</v>
      </c>
      <c r="L81">
        <v>4</v>
      </c>
      <c r="Y81" s="2">
        <v>77</v>
      </c>
      <c r="Z81" s="2" t="s">
        <v>28</v>
      </c>
      <c r="AA81" s="2" t="s">
        <v>22</v>
      </c>
      <c r="AT81" s="2">
        <f t="shared" si="6"/>
        <v>79</v>
      </c>
      <c r="AU81" s="2">
        <v>16</v>
      </c>
    </row>
    <row r="82" spans="1:47">
      <c r="A82">
        <f t="shared" si="4"/>
        <v>81</v>
      </c>
      <c r="B82" t="s">
        <v>11</v>
      </c>
      <c r="C82" t="s">
        <v>11</v>
      </c>
      <c r="K82">
        <f t="shared" si="5"/>
        <v>81</v>
      </c>
      <c r="L82">
        <v>3</v>
      </c>
      <c r="Y82" s="2">
        <v>78</v>
      </c>
      <c r="Z82" s="2" t="s">
        <v>28</v>
      </c>
      <c r="AA82" s="2" t="s">
        <v>41</v>
      </c>
      <c r="AT82" s="2">
        <f t="shared" si="6"/>
        <v>80</v>
      </c>
      <c r="AU82" s="2">
        <v>29</v>
      </c>
    </row>
    <row r="83" spans="1:47">
      <c r="A83">
        <f t="shared" si="4"/>
        <v>82</v>
      </c>
      <c r="B83" t="s">
        <v>5</v>
      </c>
      <c r="C83" t="s">
        <v>5</v>
      </c>
      <c r="K83">
        <f t="shared" si="5"/>
        <v>82</v>
      </c>
      <c r="L83">
        <v>4</v>
      </c>
      <c r="Y83" s="2">
        <v>79</v>
      </c>
      <c r="Z83" s="2" t="s">
        <v>28</v>
      </c>
      <c r="AA83" s="2" t="s">
        <v>22</v>
      </c>
      <c r="AT83" s="2">
        <f t="shared" si="6"/>
        <v>81</v>
      </c>
      <c r="AU83" s="2">
        <v>72</v>
      </c>
    </row>
    <row r="84" spans="1:47">
      <c r="A84">
        <f t="shared" si="4"/>
        <v>83</v>
      </c>
      <c r="B84" t="s">
        <v>5</v>
      </c>
      <c r="C84" t="s">
        <v>5</v>
      </c>
      <c r="K84">
        <f t="shared" si="5"/>
        <v>83</v>
      </c>
      <c r="L84">
        <v>6</v>
      </c>
      <c r="Y84" s="2">
        <v>80</v>
      </c>
      <c r="Z84" s="2" t="s">
        <v>28</v>
      </c>
      <c r="AA84" s="2" t="s">
        <v>41</v>
      </c>
      <c r="AT84" s="2">
        <f t="shared" si="6"/>
        <v>82</v>
      </c>
      <c r="AU84" s="2">
        <v>46</v>
      </c>
    </row>
    <row r="85" spans="1:47">
      <c r="A85">
        <f t="shared" si="4"/>
        <v>84</v>
      </c>
      <c r="B85" t="s">
        <v>11</v>
      </c>
      <c r="C85" t="s">
        <v>11</v>
      </c>
      <c r="K85">
        <f t="shared" si="5"/>
        <v>84</v>
      </c>
      <c r="L85">
        <v>3</v>
      </c>
      <c r="Y85" s="2">
        <v>81</v>
      </c>
      <c r="Z85" s="2" t="s">
        <v>28</v>
      </c>
      <c r="AA85" s="2" t="s">
        <v>22</v>
      </c>
      <c r="AT85" s="2">
        <f t="shared" si="6"/>
        <v>83</v>
      </c>
      <c r="AU85" s="2">
        <v>34</v>
      </c>
    </row>
    <row r="86" spans="1:47">
      <c r="A86">
        <f t="shared" si="4"/>
        <v>85</v>
      </c>
      <c r="B86" t="s">
        <v>5</v>
      </c>
      <c r="C86" t="s">
        <v>11</v>
      </c>
      <c r="K86">
        <f t="shared" si="5"/>
        <v>85</v>
      </c>
      <c r="L86">
        <v>4</v>
      </c>
      <c r="Y86" s="2">
        <v>82</v>
      </c>
      <c r="Z86" s="2" t="s">
        <v>28</v>
      </c>
      <c r="AA86" s="2" t="s">
        <v>41</v>
      </c>
      <c r="AT86" s="2">
        <f t="shared" si="6"/>
        <v>84</v>
      </c>
      <c r="AU86" s="2">
        <v>5</v>
      </c>
    </row>
    <row r="87" spans="1:47">
      <c r="A87">
        <f t="shared" si="4"/>
        <v>86</v>
      </c>
      <c r="B87" t="s">
        <v>5</v>
      </c>
      <c r="C87" t="s">
        <v>11</v>
      </c>
      <c r="K87">
        <f t="shared" si="5"/>
        <v>86</v>
      </c>
      <c r="L87">
        <v>3</v>
      </c>
      <c r="Y87" s="2">
        <v>83</v>
      </c>
      <c r="Z87" s="2" t="s">
        <v>21</v>
      </c>
      <c r="AA87" s="2" t="s">
        <v>41</v>
      </c>
      <c r="AT87" s="2">
        <f t="shared" si="6"/>
        <v>85</v>
      </c>
      <c r="AU87" s="2">
        <v>89</v>
      </c>
    </row>
    <row r="88" spans="1:47">
      <c r="A88">
        <f t="shared" si="4"/>
        <v>87</v>
      </c>
      <c r="B88" t="s">
        <v>5</v>
      </c>
      <c r="C88" t="s">
        <v>11</v>
      </c>
      <c r="K88">
        <f t="shared" si="5"/>
        <v>87</v>
      </c>
      <c r="L88">
        <v>1</v>
      </c>
      <c r="Y88" s="2">
        <v>84</v>
      </c>
      <c r="Z88" s="2" t="s">
        <v>28</v>
      </c>
      <c r="AA88" s="2" t="s">
        <v>41</v>
      </c>
      <c r="AT88" s="2">
        <f t="shared" si="6"/>
        <v>86</v>
      </c>
      <c r="AU88" s="2">
        <v>31</v>
      </c>
    </row>
    <row r="89" spans="1:47">
      <c r="A89">
        <f t="shared" si="4"/>
        <v>88</v>
      </c>
      <c r="B89" t="s">
        <v>5</v>
      </c>
      <c r="C89" t="s">
        <v>5</v>
      </c>
      <c r="K89">
        <f t="shared" si="5"/>
        <v>88</v>
      </c>
      <c r="L89">
        <v>2</v>
      </c>
      <c r="Y89" s="2">
        <v>85</v>
      </c>
      <c r="Z89" s="2" t="s">
        <v>28</v>
      </c>
      <c r="AA89" s="2" t="s">
        <v>22</v>
      </c>
      <c r="AT89" s="2">
        <f t="shared" si="6"/>
        <v>87</v>
      </c>
      <c r="AU89" s="2">
        <v>46</v>
      </c>
    </row>
    <row r="90" spans="1:47">
      <c r="A90">
        <f t="shared" si="4"/>
        <v>89</v>
      </c>
      <c r="B90" t="s">
        <v>5</v>
      </c>
      <c r="C90" t="s">
        <v>5</v>
      </c>
      <c r="K90">
        <f t="shared" si="5"/>
        <v>89</v>
      </c>
      <c r="L90">
        <v>2</v>
      </c>
      <c r="Y90" s="2">
        <v>86</v>
      </c>
      <c r="Z90" s="2" t="s">
        <v>21</v>
      </c>
      <c r="AA90" s="2" t="s">
        <v>41</v>
      </c>
      <c r="AT90" s="2">
        <f t="shared" si="6"/>
        <v>88</v>
      </c>
      <c r="AU90" s="2">
        <v>92</v>
      </c>
    </row>
    <row r="91" spans="1:47">
      <c r="A91">
        <f t="shared" si="4"/>
        <v>90</v>
      </c>
      <c r="B91" t="s">
        <v>11</v>
      </c>
      <c r="C91" t="s">
        <v>11</v>
      </c>
      <c r="K91">
        <f t="shared" si="5"/>
        <v>90</v>
      </c>
      <c r="L91">
        <v>4</v>
      </c>
      <c r="Y91" s="2">
        <v>87</v>
      </c>
      <c r="Z91" s="2" t="s">
        <v>28</v>
      </c>
      <c r="AA91" s="2" t="s">
        <v>22</v>
      </c>
      <c r="AT91" s="2">
        <f t="shared" si="6"/>
        <v>89</v>
      </c>
      <c r="AU91" s="2">
        <v>52</v>
      </c>
    </row>
    <row r="92" spans="1:47">
      <c r="A92">
        <f t="shared" si="4"/>
        <v>91</v>
      </c>
      <c r="B92" t="s">
        <v>5</v>
      </c>
      <c r="C92" t="s">
        <v>5</v>
      </c>
      <c r="K92">
        <f t="shared" si="5"/>
        <v>91</v>
      </c>
      <c r="L92">
        <v>3</v>
      </c>
      <c r="Y92" s="2">
        <v>88</v>
      </c>
      <c r="Z92" s="2" t="s">
        <v>21</v>
      </c>
      <c r="AA92" s="2" t="s">
        <v>22</v>
      </c>
      <c r="AT92" s="2">
        <f t="shared" si="6"/>
        <v>90</v>
      </c>
      <c r="AU92" s="2">
        <v>27</v>
      </c>
    </row>
    <row r="93" spans="1:47">
      <c r="A93">
        <f t="shared" si="4"/>
        <v>92</v>
      </c>
      <c r="B93" t="s">
        <v>11</v>
      </c>
      <c r="C93" t="s">
        <v>11</v>
      </c>
      <c r="K93">
        <f t="shared" si="5"/>
        <v>92</v>
      </c>
      <c r="L93">
        <v>5</v>
      </c>
      <c r="Y93" s="2">
        <v>89</v>
      </c>
      <c r="Z93" s="2" t="s">
        <v>21</v>
      </c>
      <c r="AA93" s="2" t="s">
        <v>41</v>
      </c>
      <c r="AT93" s="2">
        <f t="shared" si="6"/>
        <v>91</v>
      </c>
      <c r="AU93" s="2">
        <v>53</v>
      </c>
    </row>
    <row r="94" spans="1:47">
      <c r="A94">
        <f t="shared" si="4"/>
        <v>93</v>
      </c>
      <c r="B94" t="s">
        <v>5</v>
      </c>
      <c r="C94" t="s">
        <v>5</v>
      </c>
      <c r="K94">
        <f t="shared" si="5"/>
        <v>93</v>
      </c>
      <c r="L94">
        <v>4</v>
      </c>
      <c r="Y94" s="2">
        <v>90</v>
      </c>
      <c r="Z94" s="2" t="s">
        <v>28</v>
      </c>
      <c r="AA94" s="2" t="s">
        <v>22</v>
      </c>
      <c r="AT94" s="2">
        <f t="shared" si="6"/>
        <v>92</v>
      </c>
      <c r="AU94" s="2">
        <v>53</v>
      </c>
    </row>
    <row r="95" spans="1:47">
      <c r="A95">
        <f t="shared" si="4"/>
        <v>94</v>
      </c>
      <c r="B95" t="s">
        <v>11</v>
      </c>
      <c r="C95" t="s">
        <v>11</v>
      </c>
      <c r="K95">
        <f t="shared" si="5"/>
        <v>94</v>
      </c>
      <c r="L95">
        <v>6</v>
      </c>
      <c r="Y95" s="2">
        <v>91</v>
      </c>
      <c r="Z95" s="2" t="s">
        <v>28</v>
      </c>
      <c r="AA95" s="2" t="s">
        <v>41</v>
      </c>
      <c r="AT95" s="2">
        <f t="shared" si="6"/>
        <v>93</v>
      </c>
      <c r="AU95" s="2">
        <v>96</v>
      </c>
    </row>
    <row r="96" spans="1:47">
      <c r="A96">
        <f t="shared" si="4"/>
        <v>95</v>
      </c>
      <c r="B96" t="s">
        <v>11</v>
      </c>
      <c r="C96" t="s">
        <v>11</v>
      </c>
      <c r="K96">
        <f t="shared" si="5"/>
        <v>95</v>
      </c>
      <c r="L96">
        <v>2</v>
      </c>
      <c r="Y96" s="2">
        <v>92</v>
      </c>
      <c r="Z96" s="2" t="s">
        <v>28</v>
      </c>
      <c r="AA96" s="2" t="s">
        <v>41</v>
      </c>
      <c r="AT96" s="2">
        <f t="shared" si="6"/>
        <v>94</v>
      </c>
      <c r="AU96" s="2">
        <v>4</v>
      </c>
    </row>
    <row r="97" spans="1:47">
      <c r="A97">
        <f t="shared" si="4"/>
        <v>96</v>
      </c>
      <c r="B97" t="s">
        <v>11</v>
      </c>
      <c r="C97" t="s">
        <v>11</v>
      </c>
      <c r="K97">
        <f t="shared" si="5"/>
        <v>96</v>
      </c>
      <c r="L97">
        <v>2</v>
      </c>
      <c r="Y97" s="2">
        <v>93</v>
      </c>
      <c r="Z97" s="2" t="s">
        <v>28</v>
      </c>
      <c r="AA97" s="2" t="s">
        <v>41</v>
      </c>
      <c r="AT97" s="2">
        <f t="shared" si="6"/>
        <v>95</v>
      </c>
      <c r="AU97" s="2">
        <v>94</v>
      </c>
    </row>
    <row r="98" spans="1:47">
      <c r="A98">
        <f t="shared" si="4"/>
        <v>97</v>
      </c>
      <c r="B98" t="s">
        <v>5</v>
      </c>
      <c r="C98" t="s">
        <v>11</v>
      </c>
      <c r="K98">
        <f t="shared" si="5"/>
        <v>97</v>
      </c>
      <c r="L98">
        <v>2</v>
      </c>
      <c r="Y98" s="2">
        <v>94</v>
      </c>
      <c r="Z98" s="2" t="s">
        <v>28</v>
      </c>
      <c r="AA98" s="2" t="s">
        <v>41</v>
      </c>
      <c r="AT98" s="2">
        <f t="shared" si="6"/>
        <v>96</v>
      </c>
      <c r="AU98" s="2">
        <v>49</v>
      </c>
    </row>
    <row r="99" spans="1:47">
      <c r="A99">
        <f t="shared" si="4"/>
        <v>98</v>
      </c>
      <c r="B99" t="s">
        <v>11</v>
      </c>
      <c r="C99" t="s">
        <v>5</v>
      </c>
      <c r="K99">
        <f t="shared" si="5"/>
        <v>98</v>
      </c>
      <c r="L99">
        <v>1</v>
      </c>
      <c r="Y99" s="2">
        <v>95</v>
      </c>
      <c r="Z99" s="2" t="s">
        <v>21</v>
      </c>
      <c r="AA99" s="2" t="s">
        <v>41</v>
      </c>
      <c r="AT99" s="2">
        <f t="shared" si="6"/>
        <v>97</v>
      </c>
      <c r="AU99" s="2">
        <v>59</v>
      </c>
    </row>
    <row r="100" spans="1:47">
      <c r="A100">
        <f t="shared" si="4"/>
        <v>99</v>
      </c>
      <c r="B100" t="s">
        <v>5</v>
      </c>
      <c r="C100" t="s">
        <v>11</v>
      </c>
      <c r="K100">
        <f t="shared" si="5"/>
        <v>99</v>
      </c>
      <c r="L100">
        <v>3</v>
      </c>
    </row>
    <row r="101" spans="1:47">
      <c r="A101">
        <f t="shared" si="4"/>
        <v>100</v>
      </c>
      <c r="B101" t="s">
        <v>5</v>
      </c>
      <c r="C101" t="s">
        <v>5</v>
      </c>
      <c r="K101">
        <f t="shared" si="5"/>
        <v>100</v>
      </c>
      <c r="L101">
        <v>0</v>
      </c>
    </row>
  </sheetData>
  <mergeCells count="1">
    <mergeCell ref="AT1:A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student</dc:creator>
  <cp:keywords/>
  <dc:description/>
  <cp:lastModifiedBy/>
  <cp:revision/>
  <dcterms:created xsi:type="dcterms:W3CDTF">2015-06-05T18:17:20Z</dcterms:created>
  <dcterms:modified xsi:type="dcterms:W3CDTF">2026-07-01T07:07:28Z</dcterms:modified>
  <cp:category/>
  <cp:contentStatus/>
</cp:coreProperties>
</file>