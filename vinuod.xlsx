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2B611849-15CD-4F44-A0D8-41C740D09999}" xr6:coauthVersionLast="47" xr6:coauthVersionMax="47" xr10:uidLastSave="{00000000-0000-0000-0000-000000000000}"/>
  <bookViews>
    <workbookView xWindow="-120" yWindow="-120" windowWidth="29040" windowHeight="15720" activeTab="1" xr2:uid="{0E3DA928-FC58-4DB2-AF0D-C00694347D2C}"/>
  </bookViews>
  <sheets>
    <sheet name="Sheet2" sheetId="2" r:id="rId1"/>
    <sheet name="Sheet3" sheetId="3" r:id="rId2"/>
    <sheet name="Sheet1" sheetId="1" r:id="rId3"/>
  </sheets>
  <definedNames>
    <definedName name="_xlchart.v1.0" hidden="1">Sheet1!$E$1:$E$30</definedName>
    <definedName name="_xlchart.v1.1" hidden="1">Sheet1!$E$31:$E$37</definedName>
    <definedName name="_xlchart.v1.2" hidden="1">Sheet1!$E$1:$E$30</definedName>
    <definedName name="_xlchart.v1.3" hidden="1">Sheet1!$E$31:$E$37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B37" i="1"/>
  <c r="B36" i="1"/>
  <c r="C35" i="1"/>
  <c r="C34" i="1"/>
  <c r="C36" i="1"/>
  <c r="B35" i="1"/>
  <c r="B34" i="1"/>
  <c r="C33" i="1"/>
  <c r="B33" i="1"/>
  <c r="C32" i="1"/>
  <c r="B32" i="1"/>
  <c r="C31" i="1"/>
  <c r="B31" i="1"/>
</calcChain>
</file>

<file path=xl/sharedStrings.xml><?xml version="1.0" encoding="utf-8"?>
<sst xmlns="http://schemas.openxmlformats.org/spreadsheetml/2006/main" count="169" uniqueCount="133">
  <si>
    <t>Name</t>
  </si>
  <si>
    <t>Age</t>
  </si>
  <si>
    <t>Marks</t>
  </si>
  <si>
    <t>sai siva</t>
  </si>
  <si>
    <t>vishnu</t>
  </si>
  <si>
    <t>Thilak</t>
  </si>
  <si>
    <t>Melpadi</t>
  </si>
  <si>
    <t>sameer</t>
  </si>
  <si>
    <t>department</t>
  </si>
  <si>
    <t>cst</t>
  </si>
  <si>
    <t>ece</t>
  </si>
  <si>
    <t>cse</t>
  </si>
  <si>
    <t>mech</t>
  </si>
  <si>
    <t>eee</t>
  </si>
  <si>
    <t>Gender</t>
  </si>
  <si>
    <t>Male</t>
  </si>
  <si>
    <t>City</t>
  </si>
  <si>
    <t>plmnr</t>
  </si>
  <si>
    <t>kadapa</t>
  </si>
  <si>
    <t>jaanu</t>
  </si>
  <si>
    <t>geetha</t>
  </si>
  <si>
    <t>sheela</t>
  </si>
  <si>
    <t>madhu</t>
  </si>
  <si>
    <t>sandy</t>
  </si>
  <si>
    <t>sathya</t>
  </si>
  <si>
    <t>anu</t>
  </si>
  <si>
    <t>vishu</t>
  </si>
  <si>
    <t>mamatha</t>
  </si>
  <si>
    <t>raj</t>
  </si>
  <si>
    <t>balu</t>
  </si>
  <si>
    <t>venky</t>
  </si>
  <si>
    <t>vikkey</t>
  </si>
  <si>
    <t>maha</t>
  </si>
  <si>
    <t>prudhvi</t>
  </si>
  <si>
    <t>mahesh</t>
  </si>
  <si>
    <t>lalith</t>
  </si>
  <si>
    <t>harish</t>
  </si>
  <si>
    <t>shareef</t>
  </si>
  <si>
    <t>raju</t>
  </si>
  <si>
    <t>arshu</t>
  </si>
  <si>
    <t>ishaw</t>
  </si>
  <si>
    <t>gaye</t>
  </si>
  <si>
    <t>female</t>
  </si>
  <si>
    <t>cec</t>
  </si>
  <si>
    <t>mpc</t>
  </si>
  <si>
    <t>mec</t>
  </si>
  <si>
    <t>bipc</t>
  </si>
  <si>
    <t>cns</t>
  </si>
  <si>
    <t>b com</t>
  </si>
  <si>
    <t>bsc</t>
  </si>
  <si>
    <t>bba</t>
  </si>
  <si>
    <t>civil</t>
  </si>
  <si>
    <t>hec</t>
  </si>
  <si>
    <t>mbipc</t>
  </si>
  <si>
    <t>ranjji</t>
  </si>
  <si>
    <t>csd</t>
  </si>
  <si>
    <t>csc</t>
  </si>
  <si>
    <t>csn</t>
  </si>
  <si>
    <t>eme</t>
  </si>
  <si>
    <t>mpei</t>
  </si>
  <si>
    <t>mba</t>
  </si>
  <si>
    <t>mbas</t>
  </si>
  <si>
    <t>cstd</t>
  </si>
  <si>
    <t>bsed</t>
  </si>
  <si>
    <t>seut</t>
  </si>
  <si>
    <t>set</t>
  </si>
  <si>
    <t>hecm</t>
  </si>
  <si>
    <t>chenni</t>
  </si>
  <si>
    <t>hyd</t>
  </si>
  <si>
    <t>nellore</t>
  </si>
  <si>
    <t>vellore</t>
  </si>
  <si>
    <t>chittore</t>
  </si>
  <si>
    <t>kuppam</t>
  </si>
  <si>
    <t>kadapn</t>
  </si>
  <si>
    <t>thiru</t>
  </si>
  <si>
    <t>vkota</t>
  </si>
  <si>
    <t>kurabo</t>
  </si>
  <si>
    <t>bglo</t>
  </si>
  <si>
    <t>bagarup</t>
  </si>
  <si>
    <t>panjani</t>
  </si>
  <si>
    <t>punganu</t>
  </si>
  <si>
    <t>mdp</t>
  </si>
  <si>
    <t>vizak</t>
  </si>
  <si>
    <t>vijaawada</t>
  </si>
  <si>
    <t>guddur</t>
  </si>
  <si>
    <t>reddhis</t>
  </si>
  <si>
    <t>gbommi</t>
  </si>
  <si>
    <t>rayachoti</t>
  </si>
  <si>
    <t>guddiyata</t>
  </si>
  <si>
    <t>katpadi</t>
  </si>
  <si>
    <t>delhi</t>
  </si>
  <si>
    <t>Mean</t>
  </si>
  <si>
    <t>median</t>
  </si>
  <si>
    <t>Mode</t>
  </si>
  <si>
    <t>Range</t>
  </si>
  <si>
    <t>variance</t>
  </si>
  <si>
    <t>Stdev</t>
  </si>
  <si>
    <t>Correlatio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</si>
  <si>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</si>
  <si>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</si>
  <si>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</si>
  <si>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</si>
  <si>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</si>
  <si>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</si>
  <si>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</si>
  <si>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</si>
  <si>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</si>
  <si>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</si>
  <si>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</si>
  <si>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</si>
  <si>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</si>
  <si>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</si>
  <si>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</si>
  <si>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</si>
  <si>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</si>
  <si>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</si>
  <si>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</si>
  <si>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</si>
  <si>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</si>
  <si>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</si>
  <si>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</si>
  <si>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</si>
  <si>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</si>
  <si>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Column1</t>
  </si>
  <si>
    <t>Median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</si>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</sst>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2.9736335589630243E-2"/>
          <c:w val="0.87753018372703417"/>
          <c:h val="0.7773611111111110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Age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Sheet1!$B$2:$B$37</c:f>
              <c:numCache>
                <c:formatCode>General</c:formatCode>
                <c:ptCount val="36"/>
                <c:pt idx="0">
                  <c:v>20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32</c:v>
                </c:pt>
                <c:pt idx="14">
                  <c:v>42</c:v>
                </c:pt>
                <c:pt idx="15">
                  <c:v>45</c:v>
                </c:pt>
                <c:pt idx="16">
                  <c:v>30</c:v>
                </c:pt>
                <c:pt idx="17">
                  <c:v>57</c:v>
                </c:pt>
                <c:pt idx="18">
                  <c:v>62</c:v>
                </c:pt>
                <c:pt idx="19">
                  <c:v>67</c:v>
                </c:pt>
                <c:pt idx="20">
                  <c:v>68</c:v>
                </c:pt>
                <c:pt idx="21">
                  <c:v>74</c:v>
                </c:pt>
                <c:pt idx="22">
                  <c:v>33</c:v>
                </c:pt>
                <c:pt idx="23">
                  <c:v>43</c:v>
                </c:pt>
                <c:pt idx="24">
                  <c:v>13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32.793103448275865</c:v>
                </c:pt>
                <c:pt idx="30">
                  <c:v>27</c:v>
                </c:pt>
                <c:pt idx="31">
                  <c:v>20</c:v>
                </c:pt>
                <c:pt idx="32">
                  <c:v>61</c:v>
                </c:pt>
                <c:pt idx="33">
                  <c:v>297.09852216748772</c:v>
                </c:pt>
                <c:pt idx="34">
                  <c:v>17.236546120597588</c:v>
                </c:pt>
                <c:pt idx="35">
                  <c:v>5.1643612554709339E-2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CB-455E-B2D0-306EAB3CF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88192"/>
        <c:axId val="398686272"/>
      </c:scatterChart>
      <c:valAx>
        <c:axId val="39868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86272"/>
        <c:crosses val="autoZero"/>
        <c:crossBetween val="midCat"/>
      </c:valAx>
      <c:valAx>
        <c:axId val="39868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8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Sheet1!$C$1</c:f>
              <c:strCache>
                <c:ptCount val="1"/>
                <c:pt idx="0">
                  <c:v>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99-4205-9405-8C9E600D6FE9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Sheet1!$C$2:$C$37</c:f>
              <c:numCache>
                <c:formatCode>General</c:formatCode>
                <c:ptCount val="36"/>
                <c:pt idx="0">
                  <c:v>87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60</c:v>
                </c:pt>
                <c:pt idx="5">
                  <c:v>63</c:v>
                </c:pt>
                <c:pt idx="6">
                  <c:v>45</c:v>
                </c:pt>
                <c:pt idx="7">
                  <c:v>53</c:v>
                </c:pt>
                <c:pt idx="8">
                  <c:v>59</c:v>
                </c:pt>
                <c:pt idx="9">
                  <c:v>96</c:v>
                </c:pt>
                <c:pt idx="10">
                  <c:v>99</c:v>
                </c:pt>
                <c:pt idx="11">
                  <c:v>87</c:v>
                </c:pt>
                <c:pt idx="12">
                  <c:v>77</c:v>
                </c:pt>
                <c:pt idx="13">
                  <c:v>90</c:v>
                </c:pt>
                <c:pt idx="14">
                  <c:v>8</c:v>
                </c:pt>
                <c:pt idx="15">
                  <c:v>97</c:v>
                </c:pt>
                <c:pt idx="16">
                  <c:v>56</c:v>
                </c:pt>
                <c:pt idx="17">
                  <c:v>51</c:v>
                </c:pt>
                <c:pt idx="18">
                  <c:v>69</c:v>
                </c:pt>
                <c:pt idx="19">
                  <c:v>54</c:v>
                </c:pt>
                <c:pt idx="20">
                  <c:v>84</c:v>
                </c:pt>
                <c:pt idx="21">
                  <c:v>87</c:v>
                </c:pt>
                <c:pt idx="22">
                  <c:v>46</c:v>
                </c:pt>
                <c:pt idx="23">
                  <c:v>66</c:v>
                </c:pt>
                <c:pt idx="24">
                  <c:v>35</c:v>
                </c:pt>
                <c:pt idx="25">
                  <c:v>44</c:v>
                </c:pt>
                <c:pt idx="26">
                  <c:v>33</c:v>
                </c:pt>
                <c:pt idx="27">
                  <c:v>76</c:v>
                </c:pt>
                <c:pt idx="28">
                  <c:v>76</c:v>
                </c:pt>
                <c:pt idx="29">
                  <c:v>67.862068965517238</c:v>
                </c:pt>
                <c:pt idx="30">
                  <c:v>69</c:v>
                </c:pt>
                <c:pt idx="31">
                  <c:v>90</c:v>
                </c:pt>
                <c:pt idx="32">
                  <c:v>91</c:v>
                </c:pt>
                <c:pt idx="33">
                  <c:v>521.48029556650204</c:v>
                </c:pt>
                <c:pt idx="34">
                  <c:v>22.835943062779389</c:v>
                </c:pt>
                <c:pt idx="35">
                  <c:v>5.1643612554709339E-2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9-4205-9405-8C9E600D6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28258967629047E-2"/>
          <c:y val="0.46371682706328377"/>
          <c:w val="0.8730857392825897"/>
          <c:h val="0.510854841061534"/>
        </c:manualLayout>
      </c:layout>
      <c:bubbleChart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Sheet1!$D$1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Sheet1!$D$2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6D7C-4B85-9DEF-A05AFCD632EF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Sheet1!$D$3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Sheet1!$D$4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1-6D7C-4B85-9DEF-A05AFCD632EF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Sheet1!$D$5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Sheet1!$D$6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2-6D7C-4B85-9DEF-A05AFCD632EF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Sheet1!$D$7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Sheet1!$D$8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3-6D7C-4B85-9DEF-A05AFCD632EF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Sheet1!$D$9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Sheet1!$D$10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4-6D7C-4B85-9DEF-A05AFCD632EF}"/>
            </c:ext>
          </c:extLst>
        </c:ser>
        <c:ser>
          <c:idx val="5"/>
          <c:order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Sheet1!$D$11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Sheet1!$D$12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5-6D7C-4B85-9DEF-A05AFCD632EF}"/>
            </c:ext>
          </c:extLst>
        </c:ser>
        <c:ser>
          <c:idx val="6"/>
          <c:order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Sheet1!$D$13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Sheet1!$D$14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6-6D7C-4B85-9DEF-A05AFCD632EF}"/>
            </c:ext>
          </c:extLst>
        </c:ser>
        <c:ser>
          <c:idx val="7"/>
          <c:order val="7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Sheet1!$D$15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Sheet1!$D$16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7-6D7C-4B85-9DEF-A05AFCD632EF}"/>
            </c:ext>
          </c:extLst>
        </c:ser>
        <c:ser>
          <c:idx val="8"/>
          <c:order val="8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Sheet1!$D$17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Sheet1!$D$18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8-6D7C-4B85-9DEF-A05AFCD632EF}"/>
            </c:ext>
          </c:extLst>
        </c:ser>
        <c:ser>
          <c:idx val="9"/>
          <c:order val="9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Sheet1!$D$19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Sheet1!$D$20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9-6D7C-4B85-9DEF-A05AFCD632EF}"/>
            </c:ext>
          </c:extLst>
        </c:ser>
        <c:ser>
          <c:idx val="10"/>
          <c:order val="10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Sheet1!$D$21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Sheet1!$D$22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A-6D7C-4B85-9DEF-A05AFCD632EF}"/>
            </c:ext>
          </c:extLst>
        </c:ser>
        <c:ser>
          <c:idx val="11"/>
          <c:order val="11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Sheet1!$D$23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Sheet1!$D$24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B-6D7C-4B85-9DEF-A05AFCD632EF}"/>
            </c:ext>
          </c:extLst>
        </c:ser>
        <c:ser>
          <c:idx val="12"/>
          <c:order val="12"/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Sheet1!$D$25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Sheet1!$D$26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C-6D7C-4B85-9DEF-A05AFCD632EF}"/>
            </c:ext>
          </c:extLst>
        </c:ser>
        <c:ser>
          <c:idx val="13"/>
          <c:order val="13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Sheet1!$D$27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Sheet1!$D$28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D-6D7C-4B85-9DEF-A05AFCD632EF}"/>
            </c:ext>
          </c:extLst>
        </c:ser>
        <c:ser>
          <c:idx val="14"/>
          <c:order val="14"/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Sheet1!$D$29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Sheet1!$D$30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E-6D7C-4B85-9DEF-A05AFCD632EF}"/>
            </c:ext>
          </c:extLst>
        </c:ser>
        <c:ser>
          <c:idx val="15"/>
          <c:order val="15"/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Sheet1!$D$31</c:f>
              <c:numCache>
                <c:formatCode>General</c:formatCode>
                <c:ptCount val="1"/>
              </c:numCache>
            </c:numRef>
          </c:yVal>
          <c:bubbleSize>
            <c:numRef>
              <c:f>Sheet1!$D$32</c:f>
              <c:numCache>
                <c:formatCode>General</c:formatCode>
                <c:ptCount val="1"/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F-6D7C-4B85-9DEF-A05AFCD632EF}"/>
            </c:ext>
          </c:extLst>
        </c:ser>
        <c:ser>
          <c:idx val="16"/>
          <c:order val="16"/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Sheet1!$D$33</c:f>
              <c:numCache>
                <c:formatCode>General</c:formatCode>
                <c:ptCount val="1"/>
              </c:numCache>
            </c:numRef>
          </c:yVal>
          <c:bubbleSize>
            <c:numRef>
              <c:f>Sheet1!$D$34</c:f>
              <c:numCache>
                <c:formatCode>General</c:formatCode>
                <c:ptCount val="1"/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10-6D7C-4B85-9DEF-A05AFCD632EF}"/>
            </c:ext>
          </c:extLst>
        </c:ser>
        <c:ser>
          <c:idx val="17"/>
          <c:order val="17"/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Sheet1!$D$35</c:f>
              <c:numCache>
                <c:formatCode>General</c:formatCode>
                <c:ptCount val="1"/>
              </c:numCache>
            </c:numRef>
          </c:yVal>
          <c:bubbleSize>
            <c:numRef>
              <c:f>Sheet1!$D$36</c:f>
              <c:numCache>
                <c:formatCode>General</c:formatCode>
                <c:ptCount val="1"/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11-6D7C-4B85-9DEF-A05AFCD632EF}"/>
            </c:ext>
          </c:extLst>
        </c:ser>
        <c:ser>
          <c:idx val="18"/>
          <c:order val="18"/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Sheet1!$D$37</c:f>
              <c:numCache>
                <c:formatCode>General</c:formatCode>
                <c:ptCount val="1"/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12-6D7C-4B85-9DEF-A05AFCD632E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485025968"/>
        <c:axId val="485021648"/>
      </c:bubbleChart>
      <c:valAx>
        <c:axId val="48502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21648"/>
        <c:crosses val="autoZero"/>
        <c:crossBetween val="midCat"/>
      </c:valAx>
      <c:valAx>
        <c:axId val="48502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25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Chart Title</cx:v>
        </cx:txData>
      </cx:tx>
    </cx:title>
    <cx:plotArea>
      <cx:plotAreaRegion>
        <cx:series layoutId="clusteredColumn" uniqueId="{C2D2D62B-8096-4919-BE8C-AB3617EEB8EF}">
          <cx:tx>
            <cx:txData>
              <cx:f>_xlchart.v1.2</cx:f>
              <cx:v>Gender Male Male Male Male Male female female female female female female female female female Male Male Male Male Male Male Male Male Male Male Male female female female female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  <cx:axisId val="1"/>
        </cx:series>
        <cx:series layoutId="paretoLine" ownerIdx="0" uniqueId="{F08D6075-F637-45C9-9BD3-31A8F322E760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5</xdr:row>
      <xdr:rowOff>28576</xdr:rowOff>
    </xdr:from>
    <xdr:to>
      <xdr:col>14</xdr:col>
      <xdr:colOff>476250</xdr:colOff>
      <xdr:row>14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55A4E4-551A-6BBF-D75C-00FFFD6F3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271462</xdr:colOff>
      <xdr:row>1</xdr:row>
      <xdr:rowOff>157162</xdr:rowOff>
    </xdr:from>
    <xdr:to>
      <xdr:col>22</xdr:col>
      <xdr:colOff>576262</xdr:colOff>
      <xdr:row>16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E0682E-B09C-EDEC-86E1-8AD8C4C5B5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557212</xdr:colOff>
      <xdr:row>18</xdr:row>
      <xdr:rowOff>66675</xdr:rowOff>
    </xdr:from>
    <xdr:to>
      <xdr:col>22</xdr:col>
      <xdr:colOff>142875</xdr:colOff>
      <xdr:row>27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637729-683E-BBB5-2747-81D6CAD6A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452437</xdr:colOff>
      <xdr:row>17</xdr:row>
      <xdr:rowOff>114299</xdr:rowOff>
    </xdr:from>
    <xdr:to>
      <xdr:col>14</xdr:col>
      <xdr:colOff>457200</xdr:colOff>
      <xdr:row>27</xdr:row>
      <xdr:rowOff>52386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A27DD802-AAE1-232F-4056-B697895AED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38837" y="3352799"/>
              <a:ext cx="3052763" cy="18430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59EC-E4E2-4668-BB97-64DB7665F801}">
  <dimension ref="A1:I18"/>
  <sheetViews>
    <sheetView workbookViewId="0">
      <selection sqref="A1:I21"/>
    </sheetView>
  </sheetViews>
  <sheetFormatPr defaultRowHeight="15" x14ac:dyDescent="0.25"/>
  <sheetData>
    <row r="1" spans="1:9" x14ac:dyDescent="0.25">
      <c r="A1" t="s">
        <v>98</v>
      </c>
    </row>
    <row r="2" spans="1:9" ht="15.75" thickBot="1" x14ac:dyDescent="0.3"/>
    <row r="3" spans="1:9" x14ac:dyDescent="0.25">
      <c r="A3" s="4" t="s">
        <v>99</v>
      </c>
      <c r="B3" s="4"/>
    </row>
    <row r="4" spans="1:9" x14ac:dyDescent="0.25">
      <c r="A4" s="1" t="s">
        <v>100</v>
      </c>
      <c r="B4" s="1">
        <v>5.1643612554711033E-2</v>
      </c>
    </row>
    <row r="5" spans="1:9" x14ac:dyDescent="0.25">
      <c r="A5" s="1" t="s">
        <v>101</v>
      </c>
      <c r="B5" s="1">
        <v>2.6670627177011069E-3</v>
      </c>
    </row>
    <row r="6" spans="1:9" x14ac:dyDescent="0.25">
      <c r="A6" s="1" t="s">
        <v>102</v>
      </c>
      <c r="B6" s="1">
        <v>-3.4271194218680336E-2</v>
      </c>
    </row>
    <row r="7" spans="1:9" x14ac:dyDescent="0.25">
      <c r="A7" s="1" t="s">
        <v>103</v>
      </c>
      <c r="B7" s="1">
        <v>17.529416514042119</v>
      </c>
    </row>
    <row r="8" spans="1:9" ht="15.75" thickBot="1" x14ac:dyDescent="0.3">
      <c r="A8" s="2" t="s">
        <v>104</v>
      </c>
      <c r="B8" s="2">
        <v>29</v>
      </c>
    </row>
    <row r="10" spans="1:9" ht="15.75" thickBot="1" x14ac:dyDescent="0.3">
      <c r="A10" t="s">
        <v>105</v>
      </c>
    </row>
    <row r="11" spans="1:9" x14ac:dyDescent="0.25">
      <c r="A11" s="3"/>
      <c r="B11" s="3" t="s">
        <v>110</v>
      </c>
      <c r="C11" s="3" t="s">
        <v>111</v>
      </c>
      <c r="D11" s="3" t="s">
        <v>112</v>
      </c>
      <c r="E11" s="3" t="s">
        <v>113</v>
      </c>
      <c r="F11" s="3" t="s">
        <v>114</v>
      </c>
    </row>
    <row r="12" spans="1:9" x14ac:dyDescent="0.25">
      <c r="A12" s="1" t="s">
        <v>106</v>
      </c>
      <c r="B12" s="1">
        <v>1</v>
      </c>
      <c r="C12" s="1">
        <v>22.186650974796066</v>
      </c>
      <c r="D12" s="1">
        <v>22.186650974796066</v>
      </c>
      <c r="E12" s="1">
        <v>7.2203264011471216E-2</v>
      </c>
      <c r="F12" s="1">
        <v>0.79019800697892906</v>
      </c>
    </row>
    <row r="13" spans="1:9" x14ac:dyDescent="0.25">
      <c r="A13" s="1" t="s">
        <v>107</v>
      </c>
      <c r="B13" s="1">
        <v>27</v>
      </c>
      <c r="C13" s="1">
        <v>8296.5719697148597</v>
      </c>
      <c r="D13" s="1">
        <v>307.28044332277256</v>
      </c>
      <c r="E13" s="1"/>
      <c r="F13" s="1"/>
    </row>
    <row r="14" spans="1:9" ht="15.75" thickBot="1" x14ac:dyDescent="0.3">
      <c r="A14" s="2" t="s">
        <v>108</v>
      </c>
      <c r="B14" s="2">
        <v>28</v>
      </c>
      <c r="C14" s="2">
        <v>8318.7586206896558</v>
      </c>
      <c r="D14" s="2"/>
      <c r="E14" s="2"/>
      <c r="F14" s="2"/>
    </row>
    <row r="15" spans="1:9" ht="15.75" thickBot="1" x14ac:dyDescent="0.3"/>
    <row r="16" spans="1:9" x14ac:dyDescent="0.25">
      <c r="A16" s="3"/>
      <c r="B16" s="3" t="s">
        <v>115</v>
      </c>
      <c r="C16" s="3" t="s">
        <v>103</v>
      </c>
      <c r="D16" s="3" t="s">
        <v>116</v>
      </c>
      <c r="E16" s="3" t="s">
        <v>117</v>
      </c>
      <c r="F16" s="3" t="s">
        <v>118</v>
      </c>
      <c r="G16" s="3" t="s">
        <v>119</v>
      </c>
      <c r="H16" s="3" t="s">
        <v>120</v>
      </c>
      <c r="I16" s="3" t="s">
        <v>121</v>
      </c>
    </row>
    <row r="17" spans="1:9" x14ac:dyDescent="0.25">
      <c r="A17" s="1" t="s">
        <v>109</v>
      </c>
      <c r="B17" s="1">
        <v>30.147803004897963</v>
      </c>
      <c r="C17" s="1">
        <v>10.36876866073557</v>
      </c>
      <c r="D17" s="1">
        <v>2.907558649568641</v>
      </c>
      <c r="E17" s="1">
        <v>7.1980438331073152E-3</v>
      </c>
      <c r="F17" s="1">
        <v>8.8728470484762951</v>
      </c>
      <c r="G17" s="1">
        <v>51.42275896131963</v>
      </c>
      <c r="H17" s="1">
        <v>8.8728470484762951</v>
      </c>
      <c r="I17" s="1">
        <v>51.42275896131963</v>
      </c>
    </row>
    <row r="18" spans="1:9" ht="15.75" thickBot="1" x14ac:dyDescent="0.3">
      <c r="A18" s="2" t="s">
        <v>122</v>
      </c>
      <c r="B18" s="2">
        <v>3.8980545151402021E-2</v>
      </c>
      <c r="C18" s="2">
        <v>0.14506728836804988</v>
      </c>
      <c r="D18" s="2">
        <v>0.26870665047867009</v>
      </c>
      <c r="E18" s="2">
        <v>0.79019800697893616</v>
      </c>
      <c r="F18" s="2">
        <v>-0.25867294406520835</v>
      </c>
      <c r="G18" s="2">
        <v>0.33663403436801242</v>
      </c>
      <c r="H18" s="2">
        <v>-0.25867294406520835</v>
      </c>
      <c r="I18" s="2">
        <v>0.33663403436801242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06C2-14A9-4328-8271-8D4DB2A0BF3D}">
  <dimension ref="A1:B15"/>
  <sheetViews>
    <sheetView tabSelected="1" workbookViewId="0">
      <selection sqref="A1:B15"/>
    </sheetView>
  </sheetViews>
  <sheetFormatPr defaultRowHeight="15" x14ac:dyDescent="0.25"/>
  <sheetData>
    <row r="1" spans="1:2" x14ac:dyDescent="0.25">
      <c r="A1" s="4" t="s">
        <v>123</v>
      </c>
      <c r="B1" s="4"/>
    </row>
    <row r="2" spans="1:2" x14ac:dyDescent="0.25">
      <c r="A2" s="1"/>
      <c r="B2" s="1"/>
    </row>
    <row r="3" spans="1:2" x14ac:dyDescent="0.25">
      <c r="A3" s="1" t="s">
        <v>91</v>
      </c>
      <c r="B3" s="1">
        <v>32.793103448275865</v>
      </c>
    </row>
    <row r="4" spans="1:2" x14ac:dyDescent="0.25">
      <c r="A4" s="1" t="s">
        <v>103</v>
      </c>
      <c r="B4" s="1">
        <v>3.2007462608687205</v>
      </c>
    </row>
    <row r="5" spans="1:2" x14ac:dyDescent="0.25">
      <c r="A5" s="1" t="s">
        <v>124</v>
      </c>
      <c r="B5" s="1">
        <v>27</v>
      </c>
    </row>
    <row r="6" spans="1:2" x14ac:dyDescent="0.25">
      <c r="A6" s="1" t="s">
        <v>93</v>
      </c>
      <c r="B6" s="1">
        <v>20</v>
      </c>
    </row>
    <row r="7" spans="1:2" x14ac:dyDescent="0.25">
      <c r="A7" s="1" t="s">
        <v>125</v>
      </c>
      <c r="B7" s="1">
        <v>17.236546120597588</v>
      </c>
    </row>
    <row r="8" spans="1:2" x14ac:dyDescent="0.25">
      <c r="A8" s="1" t="s">
        <v>126</v>
      </c>
      <c r="B8" s="1">
        <v>297.09852216748772</v>
      </c>
    </row>
    <row r="9" spans="1:2" x14ac:dyDescent="0.25">
      <c r="A9" s="1" t="s">
        <v>127</v>
      </c>
      <c r="B9" s="1">
        <v>0.3607017423138732</v>
      </c>
    </row>
    <row r="10" spans="1:2" x14ac:dyDescent="0.25">
      <c r="A10" s="1" t="s">
        <v>128</v>
      </c>
      <c r="B10" s="1">
        <v>1.2182482757321631</v>
      </c>
    </row>
    <row r="11" spans="1:2" x14ac:dyDescent="0.25">
      <c r="A11" s="1" t="s">
        <v>94</v>
      </c>
      <c r="B11" s="1">
        <v>61</v>
      </c>
    </row>
    <row r="12" spans="1:2" x14ac:dyDescent="0.25">
      <c r="A12" s="1" t="s">
        <v>129</v>
      </c>
      <c r="B12" s="1">
        <v>13</v>
      </c>
    </row>
    <row r="13" spans="1:2" x14ac:dyDescent="0.25">
      <c r="A13" s="1" t="s">
        <v>130</v>
      </c>
      <c r="B13" s="1">
        <v>74</v>
      </c>
    </row>
    <row r="14" spans="1:2" x14ac:dyDescent="0.25">
      <c r="A14" s="1" t="s">
        <v>131</v>
      </c>
      <c r="B14" s="1">
        <v>951</v>
      </c>
    </row>
    <row r="15" spans="1:2" ht="15.75" thickBot="1" x14ac:dyDescent="0.3">
      <c r="A15" s="2" t="s">
        <v>132</v>
      </c>
      <c r="B15" s="2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A6F72-E0A5-4398-B508-4CCC74735819}">
  <dimension ref="A1:F37"/>
  <sheetViews>
    <sheetView topLeftCell="A2" workbookViewId="0">
      <selection activeCell="Q33" sqref="Q3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8</v>
      </c>
      <c r="E1" t="s">
        <v>14</v>
      </c>
      <c r="F1" t="s">
        <v>16</v>
      </c>
    </row>
    <row r="2" spans="1:6" x14ac:dyDescent="0.25">
      <c r="A2" t="s">
        <v>6</v>
      </c>
      <c r="B2">
        <v>20</v>
      </c>
      <c r="C2">
        <v>87</v>
      </c>
      <c r="D2" t="s">
        <v>9</v>
      </c>
      <c r="E2" t="s">
        <v>15</v>
      </c>
      <c r="F2" t="s">
        <v>17</v>
      </c>
    </row>
    <row r="3" spans="1:6" x14ac:dyDescent="0.25">
      <c r="A3" t="s">
        <v>3</v>
      </c>
      <c r="B3">
        <v>18</v>
      </c>
      <c r="C3">
        <v>90</v>
      </c>
      <c r="D3" t="s">
        <v>10</v>
      </c>
      <c r="E3" t="s">
        <v>15</v>
      </c>
      <c r="F3" t="s">
        <v>67</v>
      </c>
    </row>
    <row r="4" spans="1:6" x14ac:dyDescent="0.25">
      <c r="A4" t="s">
        <v>4</v>
      </c>
      <c r="B4">
        <v>19</v>
      </c>
      <c r="C4">
        <v>90</v>
      </c>
      <c r="D4" t="s">
        <v>11</v>
      </c>
      <c r="E4" t="s">
        <v>15</v>
      </c>
      <c r="F4" t="s">
        <v>68</v>
      </c>
    </row>
    <row r="5" spans="1:6" x14ac:dyDescent="0.25">
      <c r="A5" t="s">
        <v>5</v>
      </c>
      <c r="B5">
        <v>20</v>
      </c>
      <c r="C5">
        <v>90</v>
      </c>
      <c r="D5" t="s">
        <v>12</v>
      </c>
      <c r="E5" t="s">
        <v>15</v>
      </c>
      <c r="F5" t="s">
        <v>18</v>
      </c>
    </row>
    <row r="6" spans="1:6" x14ac:dyDescent="0.25">
      <c r="A6" t="s">
        <v>7</v>
      </c>
      <c r="B6">
        <v>22</v>
      </c>
      <c r="C6">
        <v>60</v>
      </c>
      <c r="D6" t="s">
        <v>13</v>
      </c>
      <c r="E6" t="s">
        <v>15</v>
      </c>
      <c r="F6" t="s">
        <v>69</v>
      </c>
    </row>
    <row r="7" spans="1:6" x14ac:dyDescent="0.25">
      <c r="A7" t="s">
        <v>19</v>
      </c>
      <c r="B7">
        <v>23</v>
      </c>
      <c r="C7">
        <v>63</v>
      </c>
      <c r="D7" t="s">
        <v>43</v>
      </c>
      <c r="E7" t="s">
        <v>42</v>
      </c>
      <c r="F7" t="s">
        <v>70</v>
      </c>
    </row>
    <row r="8" spans="1:6" x14ac:dyDescent="0.25">
      <c r="A8" t="s">
        <v>20</v>
      </c>
      <c r="B8">
        <v>24</v>
      </c>
      <c r="C8">
        <v>45</v>
      </c>
      <c r="D8" t="s">
        <v>44</v>
      </c>
      <c r="E8" t="s">
        <v>42</v>
      </c>
      <c r="F8" t="s">
        <v>71</v>
      </c>
    </row>
    <row r="9" spans="1:6" x14ac:dyDescent="0.25">
      <c r="A9" t="s">
        <v>21</v>
      </c>
      <c r="B9">
        <v>25</v>
      </c>
      <c r="C9">
        <v>53</v>
      </c>
      <c r="D9" t="s">
        <v>45</v>
      </c>
      <c r="E9" t="s">
        <v>42</v>
      </c>
      <c r="F9" t="s">
        <v>72</v>
      </c>
    </row>
    <row r="10" spans="1:6" x14ac:dyDescent="0.25">
      <c r="A10" t="s">
        <v>22</v>
      </c>
      <c r="B10">
        <v>26</v>
      </c>
      <c r="C10">
        <v>59</v>
      </c>
      <c r="D10" t="s">
        <v>46</v>
      </c>
      <c r="E10" t="s">
        <v>42</v>
      </c>
      <c r="F10" t="s">
        <v>73</v>
      </c>
    </row>
    <row r="11" spans="1:6" x14ac:dyDescent="0.25">
      <c r="A11" t="s">
        <v>23</v>
      </c>
      <c r="B11">
        <v>27</v>
      </c>
      <c r="C11">
        <v>96</v>
      </c>
      <c r="D11" t="s">
        <v>47</v>
      </c>
      <c r="E11" t="s">
        <v>42</v>
      </c>
      <c r="F11" t="s">
        <v>74</v>
      </c>
    </row>
    <row r="12" spans="1:6" x14ac:dyDescent="0.25">
      <c r="A12" t="s">
        <v>24</v>
      </c>
      <c r="B12">
        <v>28</v>
      </c>
      <c r="C12">
        <v>99</v>
      </c>
      <c r="D12" t="s">
        <v>48</v>
      </c>
      <c r="E12" t="s">
        <v>42</v>
      </c>
      <c r="F12" t="s">
        <v>75</v>
      </c>
    </row>
    <row r="13" spans="1:6" x14ac:dyDescent="0.25">
      <c r="A13" t="s">
        <v>25</v>
      </c>
      <c r="B13">
        <v>29</v>
      </c>
      <c r="C13">
        <v>87</v>
      </c>
      <c r="D13" t="s">
        <v>49</v>
      </c>
      <c r="E13" t="s">
        <v>42</v>
      </c>
      <c r="F13" t="s">
        <v>76</v>
      </c>
    </row>
    <row r="14" spans="1:6" x14ac:dyDescent="0.25">
      <c r="A14" t="s">
        <v>26</v>
      </c>
      <c r="B14">
        <v>30</v>
      </c>
      <c r="C14">
        <v>77</v>
      </c>
      <c r="D14" t="s">
        <v>50</v>
      </c>
      <c r="E14" t="s">
        <v>42</v>
      </c>
      <c r="F14" t="s">
        <v>77</v>
      </c>
    </row>
    <row r="15" spans="1:6" x14ac:dyDescent="0.25">
      <c r="A15" t="s">
        <v>27</v>
      </c>
      <c r="B15">
        <v>32</v>
      </c>
      <c r="C15">
        <v>90</v>
      </c>
      <c r="D15" t="s">
        <v>51</v>
      </c>
      <c r="E15" t="s">
        <v>42</v>
      </c>
      <c r="F15" t="s">
        <v>78</v>
      </c>
    </row>
    <row r="16" spans="1:6" x14ac:dyDescent="0.25">
      <c r="A16" t="s">
        <v>28</v>
      </c>
      <c r="B16">
        <v>42</v>
      </c>
      <c r="C16">
        <v>8</v>
      </c>
      <c r="D16" t="s">
        <v>52</v>
      </c>
      <c r="E16" t="s">
        <v>15</v>
      </c>
      <c r="F16" t="s">
        <v>79</v>
      </c>
    </row>
    <row r="17" spans="1:6" x14ac:dyDescent="0.25">
      <c r="A17" t="s">
        <v>29</v>
      </c>
      <c r="B17">
        <v>45</v>
      </c>
      <c r="C17">
        <v>97</v>
      </c>
      <c r="D17" t="s">
        <v>53</v>
      </c>
      <c r="E17" t="s">
        <v>15</v>
      </c>
      <c r="F17" t="s">
        <v>80</v>
      </c>
    </row>
    <row r="18" spans="1:6" x14ac:dyDescent="0.25">
      <c r="A18" t="s">
        <v>30</v>
      </c>
      <c r="B18">
        <v>30</v>
      </c>
      <c r="C18">
        <v>56</v>
      </c>
      <c r="D18" t="s">
        <v>66</v>
      </c>
      <c r="E18" t="s">
        <v>15</v>
      </c>
      <c r="F18" t="s">
        <v>81</v>
      </c>
    </row>
    <row r="19" spans="1:6" x14ac:dyDescent="0.25">
      <c r="A19" t="s">
        <v>31</v>
      </c>
      <c r="B19">
        <v>57</v>
      </c>
      <c r="C19">
        <v>51</v>
      </c>
      <c r="D19" t="s">
        <v>65</v>
      </c>
      <c r="E19" t="s">
        <v>15</v>
      </c>
      <c r="F19" t="s">
        <v>82</v>
      </c>
    </row>
    <row r="20" spans="1:6" x14ac:dyDescent="0.25">
      <c r="A20" t="s">
        <v>32</v>
      </c>
      <c r="B20">
        <v>62</v>
      </c>
      <c r="C20">
        <v>69</v>
      </c>
      <c r="D20" t="s">
        <v>64</v>
      </c>
      <c r="E20" t="s">
        <v>15</v>
      </c>
      <c r="F20" t="s">
        <v>83</v>
      </c>
    </row>
    <row r="21" spans="1:6" x14ac:dyDescent="0.25">
      <c r="A21" t="s">
        <v>33</v>
      </c>
      <c r="B21">
        <v>67</v>
      </c>
      <c r="C21">
        <v>54</v>
      </c>
      <c r="D21" t="s">
        <v>63</v>
      </c>
      <c r="E21" t="s">
        <v>15</v>
      </c>
      <c r="F21" t="s">
        <v>84</v>
      </c>
    </row>
    <row r="22" spans="1:6" x14ac:dyDescent="0.25">
      <c r="A22" t="s">
        <v>34</v>
      </c>
      <c r="B22">
        <v>68</v>
      </c>
      <c r="C22">
        <v>84</v>
      </c>
      <c r="D22" t="s">
        <v>62</v>
      </c>
      <c r="E22" t="s">
        <v>15</v>
      </c>
      <c r="F22" t="s">
        <v>85</v>
      </c>
    </row>
    <row r="23" spans="1:6" x14ac:dyDescent="0.25">
      <c r="A23" t="s">
        <v>35</v>
      </c>
      <c r="B23">
        <v>74</v>
      </c>
      <c r="C23">
        <v>87</v>
      </c>
      <c r="D23" t="s">
        <v>61</v>
      </c>
      <c r="E23" t="s">
        <v>15</v>
      </c>
      <c r="F23" t="s">
        <v>86</v>
      </c>
    </row>
    <row r="24" spans="1:6" x14ac:dyDescent="0.25">
      <c r="A24" t="s">
        <v>36</v>
      </c>
      <c r="B24">
        <v>33</v>
      </c>
      <c r="C24">
        <v>46</v>
      </c>
      <c r="D24" t="s">
        <v>60</v>
      </c>
      <c r="E24" t="s">
        <v>15</v>
      </c>
      <c r="F24" t="s">
        <v>87</v>
      </c>
    </row>
    <row r="25" spans="1:6" x14ac:dyDescent="0.25">
      <c r="A25" t="s">
        <v>37</v>
      </c>
      <c r="B25">
        <v>43</v>
      </c>
      <c r="C25">
        <v>66</v>
      </c>
      <c r="D25" t="s">
        <v>59</v>
      </c>
      <c r="E25" t="s">
        <v>15</v>
      </c>
      <c r="F25" t="s">
        <v>90</v>
      </c>
    </row>
    <row r="26" spans="1:6" x14ac:dyDescent="0.25">
      <c r="A26" t="s">
        <v>38</v>
      </c>
      <c r="B26">
        <v>13</v>
      </c>
      <c r="C26">
        <v>35</v>
      </c>
      <c r="D26" t="s">
        <v>58</v>
      </c>
      <c r="E26" t="s">
        <v>15</v>
      </c>
      <c r="F26" t="s">
        <v>17</v>
      </c>
    </row>
    <row r="27" spans="1:6" x14ac:dyDescent="0.25">
      <c r="A27" t="s">
        <v>39</v>
      </c>
      <c r="B27">
        <v>17</v>
      </c>
      <c r="C27">
        <v>44</v>
      </c>
      <c r="D27" t="s">
        <v>57</v>
      </c>
      <c r="E27" t="s">
        <v>42</v>
      </c>
      <c r="F27" t="s">
        <v>68</v>
      </c>
    </row>
    <row r="28" spans="1:6" x14ac:dyDescent="0.25">
      <c r="A28" t="s">
        <v>40</v>
      </c>
      <c r="B28">
        <v>18</v>
      </c>
      <c r="C28">
        <v>33</v>
      </c>
      <c r="D28" t="s">
        <v>56</v>
      </c>
      <c r="E28" t="s">
        <v>42</v>
      </c>
      <c r="F28" t="s">
        <v>17</v>
      </c>
    </row>
    <row r="29" spans="1:6" x14ac:dyDescent="0.25">
      <c r="A29" t="s">
        <v>41</v>
      </c>
      <c r="B29">
        <v>19</v>
      </c>
      <c r="C29">
        <v>76</v>
      </c>
      <c r="D29" t="s">
        <v>55</v>
      </c>
      <c r="E29" t="s">
        <v>42</v>
      </c>
      <c r="F29" t="s">
        <v>88</v>
      </c>
    </row>
    <row r="30" spans="1:6" x14ac:dyDescent="0.25">
      <c r="A30" t="s">
        <v>54</v>
      </c>
      <c r="B30">
        <v>20</v>
      </c>
      <c r="C30">
        <v>76</v>
      </c>
      <c r="D30" t="s">
        <v>44</v>
      </c>
      <c r="E30" t="s">
        <v>42</v>
      </c>
      <c r="F30" t="s">
        <v>89</v>
      </c>
    </row>
    <row r="31" spans="1:6" x14ac:dyDescent="0.25">
      <c r="A31" t="s">
        <v>91</v>
      </c>
      <c r="B31">
        <f>AVERAGE(B2:B30)</f>
        <v>32.793103448275865</v>
      </c>
      <c r="C31">
        <f>AVERAGE(C2:C30)</f>
        <v>67.862068965517238</v>
      </c>
    </row>
    <row r="32" spans="1:6" x14ac:dyDescent="0.25">
      <c r="A32" t="s">
        <v>92</v>
      </c>
      <c r="B32">
        <f>MEDIAN(B2:B30)</f>
        <v>27</v>
      </c>
      <c r="C32">
        <f>MEDIAN(C2:C30)</f>
        <v>69</v>
      </c>
    </row>
    <row r="33" spans="1:3" x14ac:dyDescent="0.25">
      <c r="A33" t="s">
        <v>93</v>
      </c>
      <c r="B33">
        <f>MODE(B2:B30)</f>
        <v>20</v>
      </c>
      <c r="C33">
        <f>MODE(C2:C30)</f>
        <v>90</v>
      </c>
    </row>
    <row r="34" spans="1:3" x14ac:dyDescent="0.25">
      <c r="A34" t="s">
        <v>94</v>
      </c>
      <c r="B34">
        <f>MAX(B2:B30)-MIN(B2:B30)</f>
        <v>61</v>
      </c>
      <c r="C34">
        <f>MAX(C2:C30)-MIN(C2:C30)</f>
        <v>91</v>
      </c>
    </row>
    <row r="35" spans="1:3" x14ac:dyDescent="0.25">
      <c r="A35" t="s">
        <v>95</v>
      </c>
      <c r="B35">
        <f>VAR(B2:B30)</f>
        <v>297.09852216748772</v>
      </c>
      <c r="C35">
        <f>VAR(C2:C30)</f>
        <v>521.48029556650204</v>
      </c>
    </row>
    <row r="36" spans="1:3" x14ac:dyDescent="0.25">
      <c r="A36" t="s">
        <v>96</v>
      </c>
      <c r="B36">
        <f>STDEV(B2:B30)</f>
        <v>17.236546120597588</v>
      </c>
      <c r="C36">
        <f>STDEV(C2:C30)</f>
        <v>22.835943062779389</v>
      </c>
    </row>
    <row r="37" spans="1:3" x14ac:dyDescent="0.25">
      <c r="A37" t="s">
        <v>97</v>
      </c>
      <c r="B37">
        <f>CORREL(B2:B30,C2:C30)</f>
        <v>5.1643612554709339E-2</v>
      </c>
      <c r="C37">
        <f>CORREL(C2:C30,B2:B30)</f>
        <v>5.1643612554709339E-2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2026-05-26T08:32:26Z</dcterms:created>
  <dcterms:modified xsi:type="dcterms:W3CDTF">2026-05-26T10:31:32Z</dcterms:modified>
</cp:coreProperties>
</file>