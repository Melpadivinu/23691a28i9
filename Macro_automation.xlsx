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8_{F2377BAC-749C-47F8-965A-C379E2EF8F0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eforeAbsolute_reference_macros" sheetId="1" r:id="rId1"/>
    <sheet name="AfterAbsolute_reference_macros" sheetId="2" r:id="rId2"/>
    <sheet name="BeforeRelative_reference_macros" sheetId="3" r:id="rId3"/>
    <sheet name="AfterRelative_reference_macro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5" l="1" a="1"/>
  <c r="R2" i="5" s="1"/>
  <c r="H2" i="2" a="1"/>
  <c r="H2" i="2" s="1"/>
  <c r="F13" i="2"/>
  <c r="F12" i="2"/>
  <c r="F13" i="1"/>
  <c r="F12" i="1"/>
  <c r="H2" i="5" a="1"/>
  <c r="H2" i="5" s="1"/>
  <c r="H3" i="3" a="1"/>
  <c r="H3" i="3" s="1"/>
  <c r="H2" i="1" a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<sst xmlns="http://schemas.openxmlformats.org/spreadsheetml/2006/main" count="203" uniqueCount="34">
  <si>
    <t>SNo</t>
  </si>
  <si>
    <t>Customer Name</t>
  </si>
  <si>
    <t>Credit</t>
  </si>
  <si>
    <t>Gender</t>
  </si>
  <si>
    <t>Geographical Location</t>
  </si>
  <si>
    <t>Age</t>
  </si>
  <si>
    <t>Balance</t>
  </si>
  <si>
    <t>Age criteria</t>
  </si>
  <si>
    <t>Aarav Sharma</t>
  </si>
  <si>
    <t>Male</t>
  </si>
  <si>
    <t>Mumbai</t>
  </si>
  <si>
    <t>Priya Nair</t>
  </si>
  <si>
    <t>Female</t>
  </si>
  <si>
    <t>Bengaluru</t>
  </si>
  <si>
    <t>Rahul Verma</t>
  </si>
  <si>
    <t>Delhi</t>
  </si>
  <si>
    <t>Sneha Reddy</t>
  </si>
  <si>
    <t>Hyderabad</t>
  </si>
  <si>
    <t>Karan Mehta</t>
  </si>
  <si>
    <t>Pune</t>
  </si>
  <si>
    <t>Ananya Gupta</t>
  </si>
  <si>
    <t>Chennai</t>
  </si>
  <si>
    <t>Rohan Das</t>
  </si>
  <si>
    <t>Kolkata</t>
  </si>
  <si>
    <t>Meera Iyer</t>
  </si>
  <si>
    <t>Ahmedabad</t>
  </si>
  <si>
    <t>Vikram Singh</t>
  </si>
  <si>
    <t>Jaipur</t>
  </si>
  <si>
    <t>Kavya Patel</t>
  </si>
  <si>
    <t>Surat</t>
  </si>
  <si>
    <t>sum</t>
  </si>
  <si>
    <t>hello</t>
  </si>
  <si>
    <t>madanapalle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</si>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</sst>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3" borderId="0" xfId="0" applyFont="1" applyFill="1"/>
    <xf numFmtId="1" fontId="0" fillId="0" borderId="0" xfId="0" applyNumberFormat="1"/>
    <xf numFmtId="3" fontId="0" fillId="0" borderId="0" xfId="0" applyNumberFormat="1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BeforeAbsolute_reference_macros!$G$1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BeforeAbsolute_reference_macros!$B$2:$B$13</c:f>
              <c:strCache>
                <c:ptCount val="10"/>
                <c:pt idx="0">
                  <c:v>Aarav Sharma</c:v>
                </c:pt>
                <c:pt idx="1">
                  <c:v>Priya Nair</c:v>
                </c:pt>
                <c:pt idx="2">
                  <c:v>Rahul Verma</c:v>
                </c:pt>
                <c:pt idx="3">
                  <c:v>Sneha Reddy</c:v>
                </c:pt>
                <c:pt idx="4">
                  <c:v>Karan Mehta</c:v>
                </c:pt>
                <c:pt idx="5">
                  <c:v>Ananya Gupta</c:v>
                </c:pt>
                <c:pt idx="6">
                  <c:v>Rohan Das</c:v>
                </c:pt>
                <c:pt idx="7">
                  <c:v>Meera Iyer</c:v>
                </c:pt>
                <c:pt idx="8">
                  <c:v>Vikram Singh</c:v>
                </c:pt>
                <c:pt idx="9">
                  <c:v>Kavya Patel</c:v>
                </c:pt>
              </c:strCache>
            </c:strRef>
          </c:cat>
          <c:val>
            <c:numRef>
              <c:f>BeforeAbsolute_reference_macros!$G$2:$G$13</c:f>
              <c:numCache>
                <c:formatCode>#,##0</c:formatCode>
                <c:ptCount val="12"/>
                <c:pt idx="0">
                  <c:v>152340</c:v>
                </c:pt>
                <c:pt idx="1">
                  <c:v>98450</c:v>
                </c:pt>
                <c:pt idx="2">
                  <c:v>210780</c:v>
                </c:pt>
                <c:pt idx="3">
                  <c:v>132600</c:v>
                </c:pt>
                <c:pt idx="4">
                  <c:v>76420</c:v>
                </c:pt>
                <c:pt idx="5">
                  <c:v>305900</c:v>
                </c:pt>
                <c:pt idx="6">
                  <c:v>54300</c:v>
                </c:pt>
                <c:pt idx="7">
                  <c:v>176250</c:v>
                </c:pt>
                <c:pt idx="8">
                  <c:v>118970</c:v>
                </c:pt>
                <c:pt idx="9">
                  <c:v>194520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2-4B25-A8E5-D42075E3E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342368"/>
        <c:axId val="114342848"/>
      </c:barChart>
      <c:catAx>
        <c:axId val="11434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2848"/>
        <c:crosses val="autoZero"/>
        <c:auto val="1"/>
        <c:lblAlgn val="ctr"/>
        <c:lblOffset val="100"/>
        <c:noMultiLvlLbl val="0"/>
      </c:catAx>
      <c:valAx>
        <c:axId val="11434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4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BeforeAbsolute_reference_macros!$G$1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BeforeAbsolute_reference_macros!$B$2:$B$13</c:f>
              <c:strCache>
                <c:ptCount val="10"/>
                <c:pt idx="0">
                  <c:v>Aarav Sharma</c:v>
                </c:pt>
                <c:pt idx="1">
                  <c:v>Priya Nair</c:v>
                </c:pt>
                <c:pt idx="2">
                  <c:v>Rahul Verma</c:v>
                </c:pt>
                <c:pt idx="3">
                  <c:v>Sneha Reddy</c:v>
                </c:pt>
                <c:pt idx="4">
                  <c:v>Karan Mehta</c:v>
                </c:pt>
                <c:pt idx="5">
                  <c:v>Ananya Gupta</c:v>
                </c:pt>
                <c:pt idx="6">
                  <c:v>Rohan Das</c:v>
                </c:pt>
                <c:pt idx="7">
                  <c:v>Meera Iyer</c:v>
                </c:pt>
                <c:pt idx="8">
                  <c:v>Vikram Singh</c:v>
                </c:pt>
                <c:pt idx="9">
                  <c:v>Kavya Patel</c:v>
                </c:pt>
              </c:strCache>
            </c:strRef>
          </c:cat>
          <c:val>
            <c:numRef>
              <c:f>BeforeAbsolute_reference_macros!$G$2:$G$13</c:f>
              <c:numCache>
                <c:formatCode>#,##0</c:formatCode>
                <c:ptCount val="12"/>
                <c:pt idx="0">
                  <c:v>152340</c:v>
                </c:pt>
                <c:pt idx="1">
                  <c:v>98450</c:v>
                </c:pt>
                <c:pt idx="2">
                  <c:v>210780</c:v>
                </c:pt>
                <c:pt idx="3">
                  <c:v>132600</c:v>
                </c:pt>
                <c:pt idx="4">
                  <c:v>76420</c:v>
                </c:pt>
                <c:pt idx="5">
                  <c:v>305900</c:v>
                </c:pt>
                <c:pt idx="6">
                  <c:v>54300</c:v>
                </c:pt>
                <c:pt idx="7">
                  <c:v>176250</c:v>
                </c:pt>
                <c:pt idx="8">
                  <c:v>118970</c:v>
                </c:pt>
                <c:pt idx="9">
                  <c:v>194520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F-4E15-9D80-F7B72CFE9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3987888"/>
        <c:axId val="2103986448"/>
      </c:barChart>
      <c:catAx>
        <c:axId val="210398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986448"/>
        <c:crosses val="autoZero"/>
        <c:auto val="1"/>
        <c:lblAlgn val="ctr"/>
        <c:lblOffset val="100"/>
        <c:noMultiLvlLbl val="0"/>
      </c:catAx>
      <c:valAx>
        <c:axId val="210398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98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485775</xdr:colOff>
      <xdr:row>11</xdr:row>
      <xdr:rowOff>52387</xdr:rowOff>
    </xdr:from>
    <xdr:to>
      <xdr:col>16</xdr:col>
      <xdr:colOff>180975</xdr:colOff>
      <xdr:row>25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F67D07B-338A-903A-75D6-FBACF4015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C16C63-D94D-AC29-4156-40D97C0D8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G22" sqref="G22"/>
    </sheetView>
  </sheetViews>
  <sheetFormatPr defaultRowHeight="15" x14ac:dyDescent="0.25"/>
  <cols>
    <col min="2" max="2" width="15.42578125" customWidth="1"/>
    <col min="5" max="5" width="13.140625" customWidth="1"/>
    <col min="8" max="8" width="17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s="2">
        <v>720</v>
      </c>
      <c r="D2" t="s">
        <v>9</v>
      </c>
      <c r="E2" t="s">
        <v>10</v>
      </c>
      <c r="F2" s="2">
        <v>32</v>
      </c>
      <c r="G2" s="3">
        <v>152340</v>
      </c>
      <c r="H2" t="str" cm="1">
        <f t="array" ref="H2:H11">IF(F2:F11&gt;40,"Above 40",IF(F2:F11&gt;=30,"Between 30 to 39",IF(F2:F11&gt;=20,"Between 20 to 29","Below 20")))</f>
        <v>Between 30 to 39</v>
      </c>
    </row>
    <row r="3" spans="1:8" x14ac:dyDescent="0.25">
      <c r="A3">
        <v>2</v>
      </c>
      <c r="B3" t="s">
        <v>11</v>
      </c>
      <c r="C3" s="2">
        <v>680</v>
      </c>
      <c r="D3" t="s">
        <v>12</v>
      </c>
      <c r="E3" t="s">
        <v>13</v>
      </c>
      <c r="F3" s="2">
        <v>28</v>
      </c>
      <c r="G3" s="3">
        <v>98450</v>
      </c>
      <c r="H3" t="str">
        <v>Between 20 to 29</v>
      </c>
    </row>
    <row r="4" spans="1:8" x14ac:dyDescent="0.25">
      <c r="A4">
        <v>3</v>
      </c>
      <c r="B4" t="s">
        <v>14</v>
      </c>
      <c r="C4" s="2">
        <v>750</v>
      </c>
      <c r="D4" t="s">
        <v>9</v>
      </c>
      <c r="E4" t="s">
        <v>15</v>
      </c>
      <c r="F4" s="2">
        <v>41</v>
      </c>
      <c r="G4" s="3">
        <v>210780</v>
      </c>
      <c r="H4" t="str">
        <v>Above 40</v>
      </c>
    </row>
    <row r="5" spans="1:8" x14ac:dyDescent="0.25">
      <c r="A5">
        <v>4</v>
      </c>
      <c r="B5" t="s">
        <v>16</v>
      </c>
      <c r="C5" s="2">
        <v>695</v>
      </c>
      <c r="D5" t="s">
        <v>12</v>
      </c>
      <c r="E5" t="s">
        <v>17</v>
      </c>
      <c r="F5" s="2">
        <v>35</v>
      </c>
      <c r="G5" s="3">
        <v>132600</v>
      </c>
      <c r="H5" t="str">
        <v>Between 30 to 39</v>
      </c>
    </row>
    <row r="6" spans="1:8" x14ac:dyDescent="0.25">
      <c r="A6">
        <v>5</v>
      </c>
      <c r="B6" t="s">
        <v>18</v>
      </c>
      <c r="C6" s="2">
        <v>640</v>
      </c>
      <c r="D6" t="s">
        <v>9</v>
      </c>
      <c r="E6" t="s">
        <v>19</v>
      </c>
      <c r="F6" s="2">
        <v>30</v>
      </c>
      <c r="G6" s="3">
        <v>76420</v>
      </c>
      <c r="H6" t="str">
        <v>Between 30 to 39</v>
      </c>
    </row>
    <row r="7" spans="1:8" x14ac:dyDescent="0.25">
      <c r="A7">
        <v>6</v>
      </c>
      <c r="B7" t="s">
        <v>20</v>
      </c>
      <c r="C7" s="2">
        <v>810</v>
      </c>
      <c r="D7" t="s">
        <v>12</v>
      </c>
      <c r="E7" t="s">
        <v>21</v>
      </c>
      <c r="F7" s="2">
        <v>45</v>
      </c>
      <c r="G7" s="3">
        <v>305900</v>
      </c>
      <c r="H7" t="str">
        <v>Above 40</v>
      </c>
    </row>
    <row r="8" spans="1:8" x14ac:dyDescent="0.25">
      <c r="A8">
        <v>7</v>
      </c>
      <c r="B8" t="s">
        <v>22</v>
      </c>
      <c r="C8" s="2">
        <v>590</v>
      </c>
      <c r="D8" t="s">
        <v>9</v>
      </c>
      <c r="E8" t="s">
        <v>23</v>
      </c>
      <c r="F8" s="2">
        <v>27</v>
      </c>
      <c r="G8" s="3">
        <v>54300</v>
      </c>
      <c r="H8" t="str">
        <v>Between 20 to 29</v>
      </c>
    </row>
    <row r="9" spans="1:8" x14ac:dyDescent="0.25">
      <c r="A9">
        <v>8</v>
      </c>
      <c r="B9" t="s">
        <v>24</v>
      </c>
      <c r="C9" s="2">
        <v>730</v>
      </c>
      <c r="D9" t="s">
        <v>12</v>
      </c>
      <c r="E9" t="s">
        <v>25</v>
      </c>
      <c r="F9" s="2">
        <v>38</v>
      </c>
      <c r="G9" s="3">
        <v>176250</v>
      </c>
      <c r="H9" t="str">
        <v>Between 30 to 39</v>
      </c>
    </row>
    <row r="10" spans="1:8" x14ac:dyDescent="0.25">
      <c r="A10">
        <v>9</v>
      </c>
      <c r="B10" t="s">
        <v>26</v>
      </c>
      <c r="C10" s="2">
        <v>665</v>
      </c>
      <c r="D10" t="s">
        <v>9</v>
      </c>
      <c r="E10" t="s">
        <v>27</v>
      </c>
      <c r="F10" s="2">
        <v>33</v>
      </c>
      <c r="G10" s="3">
        <v>118970</v>
      </c>
      <c r="H10" t="str">
        <v>Between 30 to 39</v>
      </c>
    </row>
    <row r="11" spans="1:8" x14ac:dyDescent="0.25">
      <c r="A11">
        <v>10</v>
      </c>
      <c r="B11" t="s">
        <v>28</v>
      </c>
      <c r="C11" s="2">
        <v>785</v>
      </c>
      <c r="D11" t="s">
        <v>12</v>
      </c>
      <c r="E11" t="s">
        <v>29</v>
      </c>
      <c r="F11" s="2">
        <v>29</v>
      </c>
      <c r="G11" s="3">
        <v>194520</v>
      </c>
      <c r="H11" t="str">
        <v>Between 20 to 29</v>
      </c>
    </row>
    <row r="12" spans="1:8" x14ac:dyDescent="0.25">
      <c r="E12" s="4" t="s">
        <v>30</v>
      </c>
      <c r="F12" s="2">
        <f>SUM(F2:F11)</f>
        <v>338</v>
      </c>
    </row>
    <row r="13" spans="1:8" x14ac:dyDescent="0.25">
      <c r="E13" s="4" t="s">
        <v>33</v>
      </c>
      <c r="F13" s="2">
        <f>AVERAGE(F2:F11)</f>
        <v>33.799999999999997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9EB8-22CC-4B86-991E-13975198D5F5}">
  <dimension ref="A1:H13"/>
  <sheetViews>
    <sheetView workbookViewId="0">
      <selection activeCell="T12" sqref="T1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s="2">
        <v>720</v>
      </c>
      <c r="D2" t="s">
        <v>9</v>
      </c>
      <c r="E2" t="s">
        <v>10</v>
      </c>
      <c r="F2" s="2">
        <v>32</v>
      </c>
      <c r="G2" s="3">
        <v>152340</v>
      </c>
      <c r="H2" t="str" cm="1">
        <f t="array" ref="H2:H11">IF(F2:F11&gt;40,"Above 40",IF(F2:F11&gt;=30,"Between 30 to 39",IF(F2:F11&gt;=20,"Between 20 to 29","Below 20")))</f>
        <v>Between 30 to 39</v>
      </c>
    </row>
    <row r="3" spans="1:8" x14ac:dyDescent="0.25">
      <c r="A3">
        <v>2</v>
      </c>
      <c r="B3" t="s">
        <v>11</v>
      </c>
      <c r="C3" s="2">
        <v>680</v>
      </c>
      <c r="D3" t="s">
        <v>12</v>
      </c>
      <c r="E3" t="s">
        <v>13</v>
      </c>
      <c r="F3" s="2">
        <v>28</v>
      </c>
      <c r="G3" s="3">
        <v>98450</v>
      </c>
      <c r="H3" t="str">
        <v>Between 20 to 29</v>
      </c>
    </row>
    <row r="4" spans="1:8" x14ac:dyDescent="0.25">
      <c r="A4">
        <v>3</v>
      </c>
      <c r="B4" t="s">
        <v>14</v>
      </c>
      <c r="C4" s="2">
        <v>750</v>
      </c>
      <c r="D4" t="s">
        <v>9</v>
      </c>
      <c r="E4" t="s">
        <v>15</v>
      </c>
      <c r="F4" s="2">
        <v>41</v>
      </c>
      <c r="G4" s="3">
        <v>210780</v>
      </c>
      <c r="H4" t="str">
        <v>Above 40</v>
      </c>
    </row>
    <row r="5" spans="1:8" x14ac:dyDescent="0.25">
      <c r="A5">
        <v>4</v>
      </c>
      <c r="B5" t="s">
        <v>16</v>
      </c>
      <c r="C5" s="2">
        <v>695</v>
      </c>
      <c r="D5" t="s">
        <v>12</v>
      </c>
      <c r="E5" t="s">
        <v>17</v>
      </c>
      <c r="F5" s="2">
        <v>35</v>
      </c>
      <c r="G5" s="3">
        <v>132600</v>
      </c>
      <c r="H5" t="str">
        <v>Between 30 to 39</v>
      </c>
    </row>
    <row r="6" spans="1:8" x14ac:dyDescent="0.25">
      <c r="A6">
        <v>5</v>
      </c>
      <c r="B6" t="s">
        <v>18</v>
      </c>
      <c r="C6" s="2">
        <v>640</v>
      </c>
      <c r="D6" t="s">
        <v>9</v>
      </c>
      <c r="E6" t="s">
        <v>19</v>
      </c>
      <c r="F6" s="2">
        <v>30</v>
      </c>
      <c r="G6" s="3">
        <v>76420</v>
      </c>
      <c r="H6" t="str">
        <v>Between 30 to 39</v>
      </c>
    </row>
    <row r="7" spans="1:8" x14ac:dyDescent="0.25">
      <c r="A7">
        <v>6</v>
      </c>
      <c r="B7" t="s">
        <v>20</v>
      </c>
      <c r="C7" s="2">
        <v>810</v>
      </c>
      <c r="D7" t="s">
        <v>12</v>
      </c>
      <c r="E7" t="s">
        <v>21</v>
      </c>
      <c r="F7" s="2">
        <v>45</v>
      </c>
      <c r="G7" s="3">
        <v>305900</v>
      </c>
      <c r="H7" t="str">
        <v>Above 40</v>
      </c>
    </row>
    <row r="8" spans="1:8" x14ac:dyDescent="0.25">
      <c r="A8">
        <v>7</v>
      </c>
      <c r="B8" t="s">
        <v>22</v>
      </c>
      <c r="C8" s="2">
        <v>590</v>
      </c>
      <c r="D8" t="s">
        <v>9</v>
      </c>
      <c r="E8" t="s">
        <v>23</v>
      </c>
      <c r="F8" s="2">
        <v>27</v>
      </c>
      <c r="G8" s="3">
        <v>54300</v>
      </c>
      <c r="H8" t="str">
        <v>Between 20 to 29</v>
      </c>
    </row>
    <row r="9" spans="1:8" x14ac:dyDescent="0.25">
      <c r="A9">
        <v>8</v>
      </c>
      <c r="B9" t="s">
        <v>24</v>
      </c>
      <c r="C9" s="2">
        <v>730</v>
      </c>
      <c r="D9" t="s">
        <v>12</v>
      </c>
      <c r="E9" t="s">
        <v>25</v>
      </c>
      <c r="F9" s="2">
        <v>38</v>
      </c>
      <c r="G9" s="3">
        <v>176250</v>
      </c>
      <c r="H9" t="str">
        <v>Between 30 to 39</v>
      </c>
    </row>
    <row r="10" spans="1:8" x14ac:dyDescent="0.25">
      <c r="A10">
        <v>9</v>
      </c>
      <c r="B10" t="s">
        <v>26</v>
      </c>
      <c r="C10" s="2">
        <v>665</v>
      </c>
      <c r="D10" t="s">
        <v>9</v>
      </c>
      <c r="E10" t="s">
        <v>27</v>
      </c>
      <c r="F10" s="2">
        <v>33</v>
      </c>
      <c r="G10" s="3">
        <v>118970</v>
      </c>
      <c r="H10" t="str">
        <v>Between 30 to 39</v>
      </c>
    </row>
    <row r="11" spans="1:8" x14ac:dyDescent="0.25">
      <c r="A11">
        <v>10</v>
      </c>
      <c r="B11" t="s">
        <v>28</v>
      </c>
      <c r="C11" s="2">
        <v>785</v>
      </c>
      <c r="D11" t="s">
        <v>12</v>
      </c>
      <c r="E11" t="s">
        <v>29</v>
      </c>
      <c r="F11" s="2">
        <v>29</v>
      </c>
      <c r="G11" s="3">
        <v>194520</v>
      </c>
      <c r="H11" t="str">
        <v>Between 20 to 29</v>
      </c>
    </row>
    <row r="12" spans="1:8" x14ac:dyDescent="0.25">
      <c r="E12" s="4" t="s">
        <v>30</v>
      </c>
      <c r="F12">
        <f>SUM(F2:F11)</f>
        <v>338</v>
      </c>
    </row>
    <row r="13" spans="1:8" x14ac:dyDescent="0.25">
      <c r="E13" s="4" t="s">
        <v>33</v>
      </c>
      <c r="F13">
        <f>AVERAGE(F2:F11)</f>
        <v>33.799999999999997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872B-0190-4902-8A2A-D0E209429B00}">
  <dimension ref="A1:H13"/>
  <sheetViews>
    <sheetView workbookViewId="0">
      <selection activeCell="C6" sqref="C6"/>
    </sheetView>
  </sheetViews>
  <sheetFormatPr defaultRowHeight="15" x14ac:dyDescent="0.25"/>
  <cols>
    <col min="2" max="2" width="12.7109375" customWidth="1"/>
    <col min="5" max="5" width="12.85546875" customWidth="1"/>
    <col min="8" max="8" width="18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/>
      <c r="B2" s="1"/>
      <c r="C2" s="1"/>
      <c r="D2" s="1"/>
      <c r="E2" s="1" t="s">
        <v>31</v>
      </c>
      <c r="F2" s="1"/>
      <c r="G2" s="1"/>
      <c r="H2" s="1"/>
    </row>
    <row r="3" spans="1:8" x14ac:dyDescent="0.25">
      <c r="A3">
        <v>1</v>
      </c>
      <c r="B3" t="s">
        <v>8</v>
      </c>
      <c r="C3" s="2">
        <v>720</v>
      </c>
      <c r="D3" t="s">
        <v>9</v>
      </c>
      <c r="E3" t="s">
        <v>10</v>
      </c>
      <c r="F3" s="2">
        <v>32</v>
      </c>
      <c r="G3" s="3">
        <v>152340</v>
      </c>
      <c r="H3" t="str" cm="1">
        <f t="array" ref="H3:H13">IF(F3:F13&gt;40,"Above 40",IF(F3:F13&gt;=30,"Between 30 to 39",IF(F3:F13&gt;=20,"Between 20 to 29","Below 20")))</f>
        <v>Between 30 to 39</v>
      </c>
    </row>
    <row r="4" spans="1:8" x14ac:dyDescent="0.25">
      <c r="A4">
        <v>2</v>
      </c>
      <c r="B4" t="s">
        <v>11</v>
      </c>
      <c r="C4" s="2">
        <v>680</v>
      </c>
      <c r="D4" t="s">
        <v>12</v>
      </c>
      <c r="E4" t="s">
        <v>13</v>
      </c>
      <c r="F4" s="2">
        <v>28</v>
      </c>
      <c r="G4" s="3">
        <v>98450</v>
      </c>
      <c r="H4" t="str">
        <v>Between 20 to 29</v>
      </c>
    </row>
    <row r="5" spans="1:8" x14ac:dyDescent="0.25">
      <c r="C5" s="2">
        <v>517325</v>
      </c>
      <c r="E5" t="s">
        <v>32</v>
      </c>
      <c r="F5" s="2"/>
      <c r="G5" s="3"/>
      <c r="H5" t="str">
        <v>Below 20</v>
      </c>
    </row>
    <row r="6" spans="1:8" x14ac:dyDescent="0.25">
      <c r="A6">
        <v>3</v>
      </c>
      <c r="B6" t="s">
        <v>14</v>
      </c>
      <c r="C6" s="2">
        <v>750</v>
      </c>
      <c r="D6" t="s">
        <v>9</v>
      </c>
      <c r="E6" t="s">
        <v>15</v>
      </c>
      <c r="F6" s="2">
        <v>41</v>
      </c>
      <c r="G6" s="3">
        <v>210780</v>
      </c>
      <c r="H6" t="str">
        <v>Above 40</v>
      </c>
    </row>
    <row r="7" spans="1:8" x14ac:dyDescent="0.25">
      <c r="A7">
        <v>4</v>
      </c>
      <c r="B7" t="s">
        <v>16</v>
      </c>
      <c r="C7" s="2">
        <v>695</v>
      </c>
      <c r="D7" t="s">
        <v>12</v>
      </c>
      <c r="E7" t="s">
        <v>17</v>
      </c>
      <c r="F7" s="2">
        <v>35</v>
      </c>
      <c r="G7" s="3">
        <v>132600</v>
      </c>
      <c r="H7" t="str">
        <v>Between 30 to 39</v>
      </c>
    </row>
    <row r="8" spans="1:8" x14ac:dyDescent="0.25">
      <c r="A8">
        <v>5</v>
      </c>
      <c r="B8" t="s">
        <v>18</v>
      </c>
      <c r="C8" s="2">
        <v>640</v>
      </c>
      <c r="D8" t="s">
        <v>9</v>
      </c>
      <c r="E8" t="s">
        <v>19</v>
      </c>
      <c r="F8" s="2">
        <v>30</v>
      </c>
      <c r="G8" s="3">
        <v>76420</v>
      </c>
      <c r="H8" t="str">
        <v>Between 30 to 39</v>
      </c>
    </row>
    <row r="9" spans="1:8" x14ac:dyDescent="0.25">
      <c r="A9">
        <v>6</v>
      </c>
      <c r="B9" t="s">
        <v>20</v>
      </c>
      <c r="C9" s="2">
        <v>810</v>
      </c>
      <c r="D9" t="s">
        <v>12</v>
      </c>
      <c r="E9" t="s">
        <v>21</v>
      </c>
      <c r="F9" s="2">
        <v>45</v>
      </c>
      <c r="G9" s="3">
        <v>305900</v>
      </c>
      <c r="H9" t="str">
        <v>Above 40</v>
      </c>
    </row>
    <row r="10" spans="1:8" x14ac:dyDescent="0.25">
      <c r="A10">
        <v>7</v>
      </c>
      <c r="B10" t="s">
        <v>22</v>
      </c>
      <c r="C10" s="2">
        <v>590</v>
      </c>
      <c r="D10" t="s">
        <v>9</v>
      </c>
      <c r="E10" t="s">
        <v>23</v>
      </c>
      <c r="F10" s="2">
        <v>27</v>
      </c>
      <c r="G10" s="3">
        <v>54300</v>
      </c>
      <c r="H10" t="str">
        <v>Between 20 to 29</v>
      </c>
    </row>
    <row r="11" spans="1:8" x14ac:dyDescent="0.25">
      <c r="A11">
        <v>8</v>
      </c>
      <c r="B11" t="s">
        <v>24</v>
      </c>
      <c r="C11" s="2">
        <v>730</v>
      </c>
      <c r="D11" t="s">
        <v>12</v>
      </c>
      <c r="E11" t="s">
        <v>25</v>
      </c>
      <c r="F11" s="2">
        <v>38</v>
      </c>
      <c r="G11" s="3">
        <v>176250</v>
      </c>
      <c r="H11" t="str">
        <v>Between 30 to 39</v>
      </c>
    </row>
    <row r="12" spans="1:8" x14ac:dyDescent="0.25">
      <c r="A12">
        <v>9</v>
      </c>
      <c r="B12" t="s">
        <v>26</v>
      </c>
      <c r="C12" s="2">
        <v>665</v>
      </c>
      <c r="D12" t="s">
        <v>9</v>
      </c>
      <c r="E12" t="s">
        <v>27</v>
      </c>
      <c r="F12" s="2">
        <v>33</v>
      </c>
      <c r="G12" s="3">
        <v>118970</v>
      </c>
      <c r="H12" t="str">
        <v>Between 30 to 39</v>
      </c>
    </row>
    <row r="13" spans="1:8" x14ac:dyDescent="0.25">
      <c r="A13">
        <v>10</v>
      </c>
      <c r="B13" t="s">
        <v>28</v>
      </c>
      <c r="C13" s="2">
        <v>785</v>
      </c>
      <c r="D13" t="s">
        <v>12</v>
      </c>
      <c r="E13" t="s">
        <v>29</v>
      </c>
      <c r="F13" s="2">
        <v>29</v>
      </c>
      <c r="G13" s="3">
        <v>194520</v>
      </c>
      <c r="H13" t="str">
        <v>Between 20 to 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DC381-BBC1-4EF8-A256-3C1FA4D5C245}">
  <dimension ref="A1:R18"/>
  <sheetViews>
    <sheetView tabSelected="1" workbookViewId="0">
      <selection activeCell="L22" sqref="L2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</row>
    <row r="2" spans="1:18" x14ac:dyDescent="0.25">
      <c r="A2">
        <v>1</v>
      </c>
      <c r="B2" t="s">
        <v>8</v>
      </c>
      <c r="C2" s="2">
        <v>720</v>
      </c>
      <c r="D2" t="s">
        <v>9</v>
      </c>
      <c r="E2" t="s">
        <v>10</v>
      </c>
      <c r="F2" s="2">
        <v>32</v>
      </c>
      <c r="G2" s="3">
        <v>152340</v>
      </c>
      <c r="H2" t="str" cm="1">
        <f t="array" ref="H2:H17">IF(F2:F17&gt;40,"Above 40",IF(F2:F17&gt;=30,"Between 30 to 39",IF(F2:F17&gt;=20,"Between 20 to 29","Below 20")))</f>
        <v>Between 30 to 39</v>
      </c>
      <c r="K2">
        <v>1</v>
      </c>
      <c r="L2" t="s">
        <v>8</v>
      </c>
      <c r="M2" s="2">
        <v>720</v>
      </c>
      <c r="N2" t="s">
        <v>9</v>
      </c>
      <c r="O2" t="s">
        <v>10</v>
      </c>
      <c r="P2" s="2">
        <v>32</v>
      </c>
      <c r="Q2" s="3">
        <v>152340</v>
      </c>
      <c r="R2" t="str" cm="1">
        <f t="array" ref="R2:R13">IF(P2:P13&gt;40,"Above 40",IF(P2:P13&gt;=30,"Between 30 to 39",IF(P2:P13&gt;=20,"Between 20 to 29","Below 20")))</f>
        <v>Between 30 to 39</v>
      </c>
    </row>
    <row r="3" spans="1:18" x14ac:dyDescent="0.25">
      <c r="A3">
        <v>2</v>
      </c>
      <c r="B3" t="s">
        <v>11</v>
      </c>
      <c r="C3" s="2">
        <v>680</v>
      </c>
      <c r="D3" t="s">
        <v>12</v>
      </c>
      <c r="E3" t="s">
        <v>13</v>
      </c>
      <c r="F3" s="2">
        <v>28</v>
      </c>
      <c r="G3" s="3">
        <v>98450</v>
      </c>
      <c r="H3" t="str">
        <v>Between 20 to 29</v>
      </c>
      <c r="K3">
        <v>2</v>
      </c>
      <c r="L3" t="s">
        <v>11</v>
      </c>
      <c r="M3" s="2">
        <v>680</v>
      </c>
      <c r="N3" t="s">
        <v>12</v>
      </c>
      <c r="O3" t="s">
        <v>13</v>
      </c>
      <c r="P3" s="2">
        <v>28</v>
      </c>
      <c r="Q3" s="3">
        <v>98450</v>
      </c>
      <c r="R3" t="str">
        <v>Between 20 to 29</v>
      </c>
    </row>
    <row r="4" spans="1:18" x14ac:dyDescent="0.25">
      <c r="C4" s="2"/>
      <c r="D4">
        <v>517325</v>
      </c>
      <c r="F4" s="2" t="s">
        <v>32</v>
      </c>
      <c r="G4" s="3"/>
      <c r="H4" t="str">
        <v>Above 40</v>
      </c>
      <c r="K4">
        <v>3</v>
      </c>
      <c r="L4" t="s">
        <v>14</v>
      </c>
      <c r="M4" s="2">
        <v>750</v>
      </c>
      <c r="N4" t="s">
        <v>9</v>
      </c>
      <c r="O4" t="s">
        <v>15</v>
      </c>
      <c r="P4" s="2">
        <v>41</v>
      </c>
      <c r="Q4" s="3">
        <v>210780</v>
      </c>
      <c r="R4" t="str">
        <v>Above 40</v>
      </c>
    </row>
    <row r="5" spans="1:18" x14ac:dyDescent="0.25">
      <c r="A5">
        <v>3</v>
      </c>
      <c r="B5" t="s">
        <v>14</v>
      </c>
      <c r="C5" s="2">
        <v>750</v>
      </c>
      <c r="D5" t="s">
        <v>9</v>
      </c>
      <c r="E5" t="s">
        <v>15</v>
      </c>
      <c r="F5" s="2">
        <v>41</v>
      </c>
      <c r="G5" s="3">
        <v>210780</v>
      </c>
      <c r="H5" t="str">
        <v>Above 40</v>
      </c>
      <c r="K5">
        <v>4</v>
      </c>
      <c r="L5" t="s">
        <v>16</v>
      </c>
      <c r="M5" s="2">
        <v>695</v>
      </c>
      <c r="N5" t="s">
        <v>12</v>
      </c>
      <c r="O5" t="s">
        <v>17</v>
      </c>
      <c r="P5" s="2">
        <v>35</v>
      </c>
      <c r="Q5" s="3">
        <v>132600</v>
      </c>
      <c r="R5" t="str">
        <v>Between 30 to 39</v>
      </c>
    </row>
    <row r="6" spans="1:18" x14ac:dyDescent="0.25">
      <c r="C6" s="2"/>
      <c r="F6" s="2"/>
      <c r="G6" s="3"/>
      <c r="H6" t="str">
        <v>Below 20</v>
      </c>
      <c r="M6" s="2"/>
      <c r="N6">
        <v>517325</v>
      </c>
      <c r="P6" s="2" t="s">
        <v>32</v>
      </c>
      <c r="Q6" s="3"/>
      <c r="R6" t="str">
        <v>Above 40</v>
      </c>
    </row>
    <row r="7" spans="1:18" x14ac:dyDescent="0.25">
      <c r="C7" s="2">
        <v>517325</v>
      </c>
      <c r="E7" t="s">
        <v>32</v>
      </c>
      <c r="F7" s="2"/>
      <c r="G7" s="3"/>
      <c r="H7" t="str">
        <v>Below 20</v>
      </c>
      <c r="K7">
        <v>5</v>
      </c>
      <c r="L7" t="s">
        <v>18</v>
      </c>
      <c r="M7" s="2">
        <v>640</v>
      </c>
      <c r="N7" t="s">
        <v>9</v>
      </c>
      <c r="O7" t="s">
        <v>19</v>
      </c>
      <c r="P7" s="2">
        <v>30</v>
      </c>
      <c r="Q7" s="3">
        <v>76420</v>
      </c>
      <c r="R7" t="str">
        <v>Between 30 to 39</v>
      </c>
    </row>
    <row r="8" spans="1:18" x14ac:dyDescent="0.25">
      <c r="A8">
        <v>4</v>
      </c>
      <c r="B8" t="s">
        <v>16</v>
      </c>
      <c r="C8" s="2">
        <v>695</v>
      </c>
      <c r="D8" t="s">
        <v>12</v>
      </c>
      <c r="E8" t="s">
        <v>17</v>
      </c>
      <c r="F8" s="2">
        <v>35</v>
      </c>
      <c r="G8" s="3">
        <v>132600</v>
      </c>
      <c r="H8" t="str">
        <v>Between 30 to 39</v>
      </c>
      <c r="K8">
        <v>6</v>
      </c>
      <c r="L8" t="s">
        <v>20</v>
      </c>
      <c r="M8" s="2">
        <v>810</v>
      </c>
      <c r="N8" t="s">
        <v>12</v>
      </c>
      <c r="O8" t="s">
        <v>21</v>
      </c>
      <c r="P8" s="2">
        <v>45</v>
      </c>
      <c r="Q8" s="3">
        <v>305900</v>
      </c>
      <c r="R8" t="str">
        <v>Above 40</v>
      </c>
    </row>
    <row r="9" spans="1:18" x14ac:dyDescent="0.25">
      <c r="A9">
        <v>5</v>
      </c>
      <c r="B9" t="s">
        <v>18</v>
      </c>
      <c r="C9" s="2">
        <v>640</v>
      </c>
      <c r="D9" t="s">
        <v>9</v>
      </c>
      <c r="E9" t="s">
        <v>19</v>
      </c>
      <c r="F9" s="2">
        <v>30</v>
      </c>
      <c r="G9" s="3">
        <v>76420</v>
      </c>
      <c r="H9" t="str">
        <v>Between 30 to 39</v>
      </c>
      <c r="K9">
        <v>7</v>
      </c>
      <c r="L9" t="s">
        <v>22</v>
      </c>
      <c r="M9" s="2">
        <v>590</v>
      </c>
      <c r="N9" t="s">
        <v>9</v>
      </c>
      <c r="O9" t="s">
        <v>23</v>
      </c>
      <c r="P9" s="2">
        <v>27</v>
      </c>
      <c r="Q9" s="3">
        <v>54300</v>
      </c>
      <c r="R9" t="str">
        <v>Between 20 to 29</v>
      </c>
    </row>
    <row r="10" spans="1:18" x14ac:dyDescent="0.25">
      <c r="C10" s="2"/>
      <c r="F10" s="2"/>
      <c r="G10" s="3"/>
      <c r="H10" t="str">
        <v>Below 20</v>
      </c>
      <c r="M10" s="2"/>
      <c r="N10">
        <v>517325</v>
      </c>
      <c r="P10" s="2" t="s">
        <v>32</v>
      </c>
      <c r="Q10" s="3"/>
      <c r="R10" t="str">
        <v>Above 40</v>
      </c>
    </row>
    <row r="11" spans="1:18" x14ac:dyDescent="0.25">
      <c r="A11">
        <v>6</v>
      </c>
      <c r="B11" t="s">
        <v>20</v>
      </c>
      <c r="C11" s="2">
        <v>810</v>
      </c>
      <c r="D11" t="s">
        <v>12</v>
      </c>
      <c r="E11" t="s">
        <v>21</v>
      </c>
      <c r="F11" s="2">
        <v>45</v>
      </c>
      <c r="G11" s="3">
        <v>305900</v>
      </c>
      <c r="H11" t="str">
        <v>Above 40</v>
      </c>
      <c r="K11">
        <v>8</v>
      </c>
      <c r="L11" t="s">
        <v>24</v>
      </c>
      <c r="M11" s="2">
        <v>730</v>
      </c>
      <c r="N11" t="s">
        <v>12</v>
      </c>
      <c r="O11" t="s">
        <v>25</v>
      </c>
      <c r="P11" s="2">
        <v>38</v>
      </c>
      <c r="Q11" s="3">
        <v>176250</v>
      </c>
      <c r="R11" t="str">
        <v>Between 30 to 39</v>
      </c>
    </row>
    <row r="12" spans="1:18" x14ac:dyDescent="0.25">
      <c r="C12" s="2">
        <v>517325</v>
      </c>
      <c r="E12" t="s">
        <v>32</v>
      </c>
      <c r="F12" s="2"/>
      <c r="G12" s="3"/>
      <c r="H12" t="str">
        <v>Below 20</v>
      </c>
      <c r="K12">
        <v>9</v>
      </c>
      <c r="L12" t="s">
        <v>26</v>
      </c>
      <c r="M12" s="2">
        <v>665</v>
      </c>
      <c r="N12" t="s">
        <v>9</v>
      </c>
      <c r="O12" t="s">
        <v>27</v>
      </c>
      <c r="P12" s="2">
        <v>33</v>
      </c>
      <c r="Q12" s="3">
        <v>118970</v>
      </c>
      <c r="R12" t="str">
        <v>Between 30 to 39</v>
      </c>
    </row>
    <row r="13" spans="1:18" x14ac:dyDescent="0.25">
      <c r="A13">
        <v>7</v>
      </c>
      <c r="B13" t="s">
        <v>22</v>
      </c>
      <c r="C13" s="2">
        <v>590</v>
      </c>
      <c r="D13" t="s">
        <v>9</v>
      </c>
      <c r="E13" t="s">
        <v>23</v>
      </c>
      <c r="F13" s="2">
        <v>27</v>
      </c>
      <c r="G13" s="3">
        <v>54300</v>
      </c>
      <c r="H13" t="str">
        <v>Between 20 to 29</v>
      </c>
      <c r="K13">
        <v>10</v>
      </c>
      <c r="L13" t="s">
        <v>28</v>
      </c>
      <c r="M13" s="2">
        <v>785</v>
      </c>
      <c r="N13" t="s">
        <v>12</v>
      </c>
      <c r="O13" t="s">
        <v>29</v>
      </c>
      <c r="P13" s="2">
        <v>29</v>
      </c>
      <c r="Q13" s="3">
        <v>194520</v>
      </c>
      <c r="R13" t="str">
        <v>Between 20 to 29</v>
      </c>
    </row>
    <row r="14" spans="1:18" x14ac:dyDescent="0.25">
      <c r="A14">
        <v>8</v>
      </c>
      <c r="B14" t="s">
        <v>24</v>
      </c>
      <c r="C14" s="2">
        <v>730</v>
      </c>
      <c r="D14" t="s">
        <v>12</v>
      </c>
      <c r="E14" t="s">
        <v>25</v>
      </c>
      <c r="F14" s="2">
        <v>38</v>
      </c>
      <c r="G14" s="3">
        <v>176250</v>
      </c>
      <c r="H14" t="str">
        <v>Between 30 to 39</v>
      </c>
    </row>
    <row r="15" spans="1:18" x14ac:dyDescent="0.25">
      <c r="C15" s="2">
        <v>517325</v>
      </c>
      <c r="E15" t="s">
        <v>32</v>
      </c>
      <c r="F15" s="2"/>
      <c r="G15" s="3"/>
      <c r="H15" t="str">
        <v>Below 20</v>
      </c>
    </row>
    <row r="16" spans="1:18" x14ac:dyDescent="0.25">
      <c r="A16">
        <v>9</v>
      </c>
      <c r="B16" t="s">
        <v>26</v>
      </c>
      <c r="C16" s="2">
        <v>665</v>
      </c>
      <c r="D16" t="s">
        <v>9</v>
      </c>
      <c r="E16" t="s">
        <v>27</v>
      </c>
      <c r="F16" s="2">
        <v>33</v>
      </c>
      <c r="G16" s="3">
        <v>118970</v>
      </c>
      <c r="H16" t="str">
        <v>Between 30 to 39</v>
      </c>
    </row>
    <row r="17" spans="1:8" x14ac:dyDescent="0.25">
      <c r="A17">
        <v>10</v>
      </c>
      <c r="B17" t="s">
        <v>28</v>
      </c>
      <c r="C17" s="2">
        <v>785</v>
      </c>
      <c r="D17" t="s">
        <v>12</v>
      </c>
      <c r="E17" t="s">
        <v>29</v>
      </c>
      <c r="F17" s="2">
        <v>29</v>
      </c>
      <c r="G17" s="3">
        <v>194520</v>
      </c>
      <c r="H17" t="str">
        <v>Between 20 to 29</v>
      </c>
    </row>
    <row r="18" spans="1:8" x14ac:dyDescent="0.25">
      <c r="C18" s="2"/>
      <c r="D18">
        <v>517325</v>
      </c>
      <c r="F18" s="2" t="s">
        <v>32</v>
      </c>
      <c r="G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BeforeAbsolute_reference_macros</vt:lpstr>
      <vt:lpstr>AfterAbsolute_reference_macros</vt:lpstr>
      <vt:lpstr>BeforeRelative_reference_macros</vt:lpstr>
      <vt:lpstr>AfterRelative_reference_macros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2015-06-05T18:17:20Z</dcterms:created>
  <dcterms:modified xsi:type="dcterms:W3CDTF">2026-06-09T04:00:55Z</dcterms:modified>
</cp:coreProperties>
</file>