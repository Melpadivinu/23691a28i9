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C89C0DB8-61A5-46DF-A499-8037A41436B3}" xr6:coauthVersionLast="47" xr6:coauthVersionMax="47" xr10:uidLastSave="{00000000-0000-0000-0000-000000000000}"/>
  <bookViews>
    <workbookView xWindow="-120" yWindow="-120" windowWidth="29040" windowHeight="15720" firstSheet="6" activeTab="10" xr2:uid="{76D6E157-64F0-4110-9699-D1F72BE740D4}"/>
  </bookViews>
  <sheets>
    <sheet name="correlation" sheetId="2" r:id="rId1"/>
    <sheet name="descriptive" sheetId="3" r:id="rId2"/>
    <sheet name="singel factors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3" sheetId="13" r:id="rId10"/>
    <sheet name="Sheet1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0" i="1" l="1"/>
  <c r="AP9" i="1"/>
  <c r="AM15" i="1"/>
  <c r="AL14" i="1"/>
  <c r="AK13" i="1"/>
  <c r="AJ12" i="1"/>
  <c r="AI11" i="1"/>
  <c r="F6" i="7"/>
  <c r="E5" i="7"/>
  <c r="D4" i="7"/>
  <c r="C3" i="7"/>
  <c r="B2" i="7"/>
</calcChain>
</file>

<file path=xl/sharedStrings.xml><?xml version="1.0" encoding="utf-8"?>
<sst xmlns="http://schemas.openxmlformats.org/spreadsheetml/2006/main" count="580" uniqueCount="112">
  <si>
    <t>Student</t>
  </si>
  <si>
    <t>Study Hours</t>
  </si>
  <si>
    <t>Attendance %</t>
  </si>
  <si>
    <t>Sleep Hours</t>
  </si>
  <si>
    <t>Practice Tests</t>
  </si>
  <si>
    <t>Final Score</t>
  </si>
  <si>
    <t>Column 1</t>
  </si>
  <si>
    <t>Column 2</t>
  </si>
  <si>
    <t>Column 3</t>
  </si>
  <si>
    <t>Column 4</t>
  </si>
  <si>
    <t>Column 5</t>
  </si>
  <si>
    <t>Column 6</t>
  </si>
  <si>
    <t>Column1</t>
  </si>
  <si>
    <t>Column2</t>
  </si>
  <si>
    <t>Column3</t>
  </si>
  <si>
    <t>Column4</t>
  </si>
  <si>
    <t>Column5</t>
  </si>
  <si>
    <t>Column6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</si>
  <si>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</si>
  <si>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</si>
  <si>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</si>
  <si>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</si>
  <si>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</si>
  <si>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</si>
  <si>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</si>
  <si>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</si>
  <si>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</si>
  <si>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</si>
  <si>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</si>
  <si>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</si>
  <si>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</si>
  <si>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</si>
  <si>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</si>
  <si>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</si>
  <si>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</si>
  <si>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</si>
  <si>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</si>
  <si>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</si>
  <si>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</si>
  <si>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</si>
  <si>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</si>
  <si>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</si>
  <si>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</si>
  <si>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</si>
  <si>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</si>
  <si>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</si>
  <si>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</si>
  <si>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correlation</t>
  </si>
  <si>
    <t>Column7</t>
  </si>
  <si>
    <t>Column8</t>
  </si>
  <si>
    <t>Column9</t>
  </si>
  <si>
    <t>Column10</t>
  </si>
  <si>
    <t>Column11</t>
  </si>
  <si>
    <t>Column12</t>
  </si>
  <si>
    <t>Descriptive statistics</t>
  </si>
  <si>
    <t>Single Factor</t>
  </si>
  <si>
    <t>Source Variation</t>
  </si>
  <si>
    <t>Employee ID</t>
  </si>
  <si>
    <t>Experience (Years)</t>
  </si>
  <si>
    <t>Training Hours</t>
  </si>
  <si>
    <t>Satisfaction Score</t>
  </si>
  <si>
    <t>Tasks Completed</t>
  </si>
  <si>
    <t>Performance Score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</si>
  <si>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</si>
  <si>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</si>
  <si>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</si>
  <si>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</si>
  <si>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</si>
  <si>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</si>
  <si>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</si>
  <si>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</si>
  <si>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</si>
  <si>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</si>
  <si>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</si>
  <si>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</si>
  <si>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</si>
  <si>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</si>
  <si>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</si>
  <si>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</si>
  <si>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</si>
  <si>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</si>
  <si>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</si>
  <si>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</si>
  <si>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Bin</t>
  </si>
  <si>
    <t>More</t>
  </si>
  <si>
    <t>Frequency</t>
  </si>
  <si>
    <t>Anova: Two-Factor Without Replication</t>
  </si>
  <si>
    <t>Rows</t>
  </si>
  <si>
    <t>Columns</t>
  </si>
  <si>
    <t>Error</t>
  </si>
  <si>
    <t>covarinces</t>
  </si>
  <si>
    <t>SUMMARY OUTPUT</t>
  </si>
  <si>
    <t>Regression Statistics</t>
  </si>
  <si>
    <t>Multiple R</t>
  </si>
  <si>
    <t>R Square</t>
  </si>
  <si>
    <t>Adjusted R Square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</si>
  <si>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</si>
  <si>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</si>
  <si>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</si>
  <si>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</si>
  <si>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</si>
  <si>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</si>
  <si>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</si>
  <si>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</si>
  <si>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</si>
  <si>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</si>
  <si>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</si>
  <si>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X Variable 1</t>
  </si>
  <si>
    <t xml:space="preserve">                              Regressions</t>
  </si>
  <si>
    <t>correlation ex2</t>
  </si>
  <si>
    <t>ex-2</t>
  </si>
  <si>
    <t>cov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</si>
</sst>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rgb="FF006100"/>
      <name val="Calibri"/>
      <family val="2"/>
      <scheme val="minor"/>
    </font>
    <font>
      <sz val="20"/>
      <color rgb="FF9C0006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0" fontId="1" fillId="6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7" fillId="0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3" fillId="3" borderId="0" xfId="2" applyAlignment="1">
      <alignment horizontal="center"/>
    </xf>
    <xf numFmtId="0" fontId="4" fillId="4" borderId="0" xfId="3" applyAlignment="1">
      <alignment horizontal="center"/>
    </xf>
    <xf numFmtId="0" fontId="5" fillId="5" borderId="2" xfId="4"/>
    <xf numFmtId="0" fontId="1" fillId="6" borderId="1" xfId="5" applyBorder="1"/>
    <xf numFmtId="0" fontId="1" fillId="6" borderId="0" xfId="5"/>
    <xf numFmtId="0" fontId="7" fillId="0" borderId="6" xfId="0" applyFont="1" applyFill="1" applyBorder="1" applyAlignment="1">
      <alignment horizontal="centerContinuous"/>
    </xf>
    <xf numFmtId="0" fontId="9" fillId="5" borderId="2" xfId="4" applyFont="1"/>
    <xf numFmtId="0" fontId="10" fillId="2" borderId="0" xfId="1" applyFont="1" applyAlignment="1">
      <alignment horizontal="center"/>
    </xf>
    <xf numFmtId="0" fontId="11" fillId="3" borderId="0" xfId="2" applyFont="1" applyAlignment="1">
      <alignment horizontal="center"/>
    </xf>
    <xf numFmtId="0" fontId="12" fillId="6" borderId="1" xfId="5" applyFont="1" applyBorder="1"/>
    <xf numFmtId="0" fontId="13" fillId="4" borderId="0" xfId="3" applyFont="1" applyAlignment="1">
      <alignment horizontal="center"/>
    </xf>
    <xf numFmtId="0" fontId="3" fillId="3" borderId="0" xfId="2"/>
    <xf numFmtId="0" fontId="11" fillId="3" borderId="0" xfId="2" applyFont="1"/>
    <xf numFmtId="0" fontId="7" fillId="0" borderId="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4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14" xfId="0" applyFill="1" applyBorder="1" applyAlignment="1"/>
    <xf numFmtId="0" fontId="7" fillId="0" borderId="4" xfId="0" applyFont="1" applyFill="1" applyBorder="1" applyAlignment="1">
      <alignment horizontal="center"/>
    </xf>
  </cellXfs>
  <cellStyles count="6">
    <cellStyle name="40% - Accent1" xfId="5" builtinId="31"/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46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0263F-CE7A-4D94-BBD4-EF7F6022712C}" name="Table1" displayName="Table1" ref="H15:S30" totalsRowShown="0" headerRowDxfId="30" dataDxfId="31" headerRowBorderDxfId="44" tableBorderDxfId="45">
  <autoFilter ref="H15:S30" xr:uid="{FB90263F-CE7A-4D94-BBD4-EF7F6022712C}"/>
  <tableColumns count="12">
    <tableColumn id="1" xr3:uid="{2564AD7A-85A5-43B0-A333-8D6E4DC87EC3}" name="Column1" dataDxfId="43"/>
    <tableColumn id="2" xr3:uid="{8F0C4A6A-DFE0-45C2-A7DB-C7BBF1806F0D}" name="Column2" dataDxfId="42"/>
    <tableColumn id="3" xr3:uid="{AB420F66-18FA-4B75-B35C-E331338CC6DA}" name="Column3" dataDxfId="41"/>
    <tableColumn id="4" xr3:uid="{90DE5D3F-3EED-4686-8332-150E9C829FA0}" name="Column4" dataDxfId="40"/>
    <tableColumn id="5" xr3:uid="{2AAD3111-5400-43A8-AE47-70F6A4CCCE25}" name="Column5" dataDxfId="39"/>
    <tableColumn id="6" xr3:uid="{72BC330B-30D0-4E61-ABFF-1D1D7FC05508}" name="Column6" dataDxfId="38"/>
    <tableColumn id="7" xr3:uid="{83B79FC7-F3E5-42C4-AA2B-6690AFB82206}" name="Column7" dataDxfId="37"/>
    <tableColumn id="8" xr3:uid="{AFD66C2F-A060-4F73-9F29-B34747AFCEB6}" name="Column8" dataDxfId="36"/>
    <tableColumn id="9" xr3:uid="{A8100854-EB8C-4A6A-B17B-AAEEEC0CABBC}" name="Column9" dataDxfId="35"/>
    <tableColumn id="10" xr3:uid="{8ED44B42-E373-4B82-9254-F7EEDB592854}" name="Column10" dataDxfId="34"/>
    <tableColumn id="11" xr3:uid="{30D7A27F-4F11-4136-B9A9-43D41F71DCDF}" name="Column11" dataDxfId="33"/>
    <tableColumn id="12" xr3:uid="{B7392962-0ACC-42E9-849A-855D1EB46471}" name="Column12" dataDxfId="3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16D23-9927-4F44-98AA-162DB596E3BA}" name="Table2" displayName="Table2" ref="I36:O50" totalsRowShown="0" dataDxfId="21" tableBorderDxfId="29">
  <autoFilter ref="I36:O50" xr:uid="{72F16D23-9927-4F44-98AA-162DB596E3BA}"/>
  <tableColumns count="7">
    <tableColumn id="1" xr3:uid="{D83FC358-6624-437A-8D55-3E126CC5B22C}" name="Column1" dataDxfId="28"/>
    <tableColumn id="2" xr3:uid="{102E4DD1-D4EB-45A7-B322-6F7B8CF53BEF}" name="Column2" dataDxfId="27"/>
    <tableColumn id="3" xr3:uid="{4B7578E7-9A2A-4D30-9B96-2F4054AC382D}" name="Column3" dataDxfId="26"/>
    <tableColumn id="4" xr3:uid="{3C07273D-98E2-41BC-BC74-ADD16577F033}" name="Column4" dataDxfId="25"/>
    <tableColumn id="5" xr3:uid="{40002F77-253F-4CB2-BE69-3E654DDEA315}" name="Column5" dataDxfId="24"/>
    <tableColumn id="6" xr3:uid="{3FF86E29-2726-4B28-B9C8-7145DFB4670B}" name="Column6" dataDxfId="23"/>
    <tableColumn id="7" xr3:uid="{0AD356EC-B2EA-4229-B00A-435444A78C3E}" name="Column7" dataDxfId="2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A1AFE7-4C5A-4D84-97EC-3807F7465C82}" name="Table3" displayName="Table3" ref="AB6:AF32" totalsRowShown="0" headerRowDxfId="0" dataDxfId="20" headerRowBorderDxfId="7" tableBorderDxfId="8" totalsRowBorderDxfId="6">
  <autoFilter ref="AB6:AF32" xr:uid="{2CA1AFE7-4C5A-4D84-97EC-3807F7465C82}"/>
  <tableColumns count="5">
    <tableColumn id="1" xr3:uid="{0765C633-F2ED-4485-AB8C-5D79D1473D94}" name="SUMMARY" dataDxfId="5"/>
    <tableColumn id="2" xr3:uid="{233239FD-2884-44E5-A400-0B1E9D5AD841}" name="Count" dataDxfId="4"/>
    <tableColumn id="3" xr3:uid="{CA6FDFE1-707A-4B9D-A28D-72A4FBDEFE71}" name="Sum" dataDxfId="3"/>
    <tableColumn id="4" xr3:uid="{88763425-8CF2-4E4E-A9B7-FC8CF94F05A2}" name="Average" dataDxfId="2"/>
    <tableColumn id="5" xr3:uid="{B129723C-D0E6-4FCE-8F42-89DDCC2B2C08}" name="Variance" dataDxfId="1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155903-6FB5-4915-8EF0-C90C6CDD6909}" name="Table4" displayName="Table4" ref="AB36:AH39" totalsRowShown="0" headerRowDxfId="19" dataDxfId="18" headerRowBorderDxfId="16" tableBorderDxfId="17">
  <autoFilter ref="AB36:AH39" xr:uid="{5E155903-6FB5-4915-8EF0-C90C6CDD6909}"/>
  <tableColumns count="7">
    <tableColumn id="1" xr3:uid="{9015A465-6580-4E9D-92D6-6B51EEB1D818}" name="Source of Variation" dataDxfId="15"/>
    <tableColumn id="2" xr3:uid="{3B3CC893-0E5F-47DB-A648-9FD65B026CF0}" name="SS" dataDxfId="14"/>
    <tableColumn id="3" xr3:uid="{B5DC9A96-EE4B-485E-8F8A-8C968C72C16A}" name="df" dataDxfId="13"/>
    <tableColumn id="4" xr3:uid="{B37797A0-6D26-4C0B-A1BF-08076D34AB15}" name="MS" dataDxfId="12"/>
    <tableColumn id="5" xr3:uid="{B8B88453-353B-4AFB-AED7-3F54014FBC76}" name="F" dataDxfId="11"/>
    <tableColumn id="6" xr3:uid="{4BD2262C-BD91-4E78-922B-0F74B5411987}" name="P-value" dataDxfId="10"/>
    <tableColumn id="7" xr3:uid="{2C119617-E40F-4D01-85DE-E12D4BC76E34}" name="F crit" dataDxfId="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3C0D35-77FB-4F54-BA16-EAA149498A7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xzAmUBWrXSUZpCFpNCNB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E124-9E95-4A9E-93CB-BDBDF80BB88A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A1" s="7"/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</row>
    <row r="2" spans="1:7" x14ac:dyDescent="0.25">
      <c r="A2" s="5" t="s">
        <v>6</v>
      </c>
      <c r="B2" s="5">
        <v>1</v>
      </c>
      <c r="C2" s="5"/>
      <c r="D2" s="5"/>
      <c r="E2" s="5"/>
      <c r="F2" s="5"/>
      <c r="G2" s="5"/>
    </row>
    <row r="3" spans="1:7" x14ac:dyDescent="0.25">
      <c r="A3" s="5" t="s">
        <v>7</v>
      </c>
      <c r="B3" s="5">
        <v>0.30355291012422775</v>
      </c>
      <c r="C3" s="5">
        <v>1</v>
      </c>
      <c r="D3" s="5"/>
      <c r="E3" s="5"/>
      <c r="F3" s="5"/>
      <c r="G3" s="5"/>
    </row>
    <row r="4" spans="1:7" x14ac:dyDescent="0.25">
      <c r="A4" s="5" t="s">
        <v>8</v>
      </c>
      <c r="B4" s="5">
        <v>0.28393067874611488</v>
      </c>
      <c r="C4" s="5">
        <v>0.99056476688544115</v>
      </c>
      <c r="D4" s="5">
        <v>1</v>
      </c>
      <c r="E4" s="5"/>
      <c r="F4" s="5"/>
      <c r="G4" s="5"/>
    </row>
    <row r="5" spans="1:7" x14ac:dyDescent="0.25">
      <c r="A5" s="5" t="s">
        <v>9</v>
      </c>
      <c r="B5" s="5">
        <v>0.1659363298875256</v>
      </c>
      <c r="C5" s="5">
        <v>0.9413039826451769</v>
      </c>
      <c r="D5" s="5">
        <v>0.9462726011611875</v>
      </c>
      <c r="E5" s="5">
        <v>1</v>
      </c>
      <c r="F5" s="5"/>
      <c r="G5" s="5"/>
    </row>
    <row r="6" spans="1:7" x14ac:dyDescent="0.25">
      <c r="A6" s="5" t="s">
        <v>10</v>
      </c>
      <c r="B6" s="5">
        <v>0.31804837219935145</v>
      </c>
      <c r="C6" s="5">
        <v>0.98173421564905605</v>
      </c>
      <c r="D6" s="5">
        <v>0.97330145547792934</v>
      </c>
      <c r="E6" s="5">
        <v>0.9482153028048389</v>
      </c>
      <c r="F6" s="5">
        <v>1</v>
      </c>
      <c r="G6" s="5"/>
    </row>
    <row r="7" spans="1:7" ht="15.75" thickBot="1" x14ac:dyDescent="0.3">
      <c r="A7" s="6" t="s">
        <v>11</v>
      </c>
      <c r="B7" s="6">
        <v>0.28759570385981487</v>
      </c>
      <c r="C7" s="6">
        <v>0.99673619546852021</v>
      </c>
      <c r="D7" s="6">
        <v>0.99656250093888221</v>
      </c>
      <c r="E7" s="6">
        <v>0.95511361796981908</v>
      </c>
      <c r="F7" s="6">
        <v>0.98273232772690966</v>
      </c>
      <c r="G7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AF74-C640-4F00-A17A-1AFB51088A26}">
  <dimension ref="A1:L15"/>
  <sheetViews>
    <sheetView workbookViewId="0">
      <selection sqref="A1:L15"/>
    </sheetView>
  </sheetViews>
  <sheetFormatPr defaultRowHeight="15" x14ac:dyDescent="0.25"/>
  <sheetData>
    <row r="1" spans="1:12" x14ac:dyDescent="0.25">
      <c r="A1" s="7" t="s">
        <v>12</v>
      </c>
      <c r="B1" s="7"/>
      <c r="C1" s="7" t="s">
        <v>13</v>
      </c>
      <c r="D1" s="7"/>
      <c r="E1" s="7" t="s">
        <v>14</v>
      </c>
      <c r="F1" s="7"/>
      <c r="G1" s="7" t="s">
        <v>15</v>
      </c>
      <c r="H1" s="7"/>
      <c r="I1" s="7" t="s">
        <v>16</v>
      </c>
      <c r="J1" s="7"/>
      <c r="K1" s="7" t="s">
        <v>17</v>
      </c>
      <c r="L1" s="7"/>
    </row>
    <row r="2" spans="1:12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5" t="s">
        <v>18</v>
      </c>
      <c r="B3" s="5">
        <v>10.5</v>
      </c>
      <c r="C3" s="5" t="s">
        <v>18</v>
      </c>
      <c r="D3" s="5">
        <v>5.7</v>
      </c>
      <c r="E3" s="5" t="s">
        <v>18</v>
      </c>
      <c r="F3" s="5">
        <v>0.79999999999999993</v>
      </c>
      <c r="G3" s="5" t="s">
        <v>18</v>
      </c>
      <c r="H3" s="5">
        <v>6.9749999999999996</v>
      </c>
      <c r="I3" s="5" t="s">
        <v>18</v>
      </c>
      <c r="J3" s="5">
        <v>2.65</v>
      </c>
      <c r="K3" s="5" t="s">
        <v>18</v>
      </c>
      <c r="L3" s="5">
        <v>65.849999999999994</v>
      </c>
    </row>
    <row r="4" spans="1:12" x14ac:dyDescent="0.25">
      <c r="A4" s="5" t="s">
        <v>19</v>
      </c>
      <c r="B4" s="5">
        <v>1.3228756555322954</v>
      </c>
      <c r="C4" s="5" t="s">
        <v>19</v>
      </c>
      <c r="D4" s="5">
        <v>0.61601435389975001</v>
      </c>
      <c r="E4" s="5" t="s">
        <v>19</v>
      </c>
      <c r="F4" s="5">
        <v>2.1088784746999271E-2</v>
      </c>
      <c r="G4" s="5" t="s">
        <v>19</v>
      </c>
      <c r="H4" s="5">
        <v>0.23077386972395358</v>
      </c>
      <c r="I4" s="5" t="s">
        <v>19</v>
      </c>
      <c r="J4" s="5">
        <v>0.33462469157330027</v>
      </c>
      <c r="K4" s="5" t="s">
        <v>19</v>
      </c>
      <c r="L4" s="5">
        <v>3.2405936753041193</v>
      </c>
    </row>
    <row r="5" spans="1:12" x14ac:dyDescent="0.25">
      <c r="A5" s="5" t="s">
        <v>20</v>
      </c>
      <c r="B5" s="5">
        <v>10.5</v>
      </c>
      <c r="C5" s="5" t="s">
        <v>20</v>
      </c>
      <c r="D5" s="5">
        <v>5.5</v>
      </c>
      <c r="E5" s="5" t="s">
        <v>20</v>
      </c>
      <c r="F5" s="5">
        <v>0.80499999999999994</v>
      </c>
      <c r="G5" s="5" t="s">
        <v>20</v>
      </c>
      <c r="H5" s="5">
        <v>7</v>
      </c>
      <c r="I5" s="5" t="s">
        <v>20</v>
      </c>
      <c r="J5" s="5">
        <v>2.5</v>
      </c>
      <c r="K5" s="5" t="s">
        <v>20</v>
      </c>
      <c r="L5" s="5">
        <v>65.5</v>
      </c>
    </row>
    <row r="6" spans="1:12" x14ac:dyDescent="0.25">
      <c r="A6" s="5" t="s">
        <v>21</v>
      </c>
      <c r="B6" s="5" t="e">
        <v>#N/A</v>
      </c>
      <c r="C6" s="5" t="s">
        <v>21</v>
      </c>
      <c r="D6" s="5">
        <v>5</v>
      </c>
      <c r="E6" s="5" t="s">
        <v>21</v>
      </c>
      <c r="F6" s="5" t="e">
        <v>#N/A</v>
      </c>
      <c r="G6" s="5" t="s">
        <v>21</v>
      </c>
      <c r="H6" s="5">
        <v>7</v>
      </c>
      <c r="I6" s="5" t="s">
        <v>21</v>
      </c>
      <c r="J6" s="5">
        <v>2</v>
      </c>
      <c r="K6" s="5" t="s">
        <v>21</v>
      </c>
      <c r="L6" s="5" t="e">
        <v>#N/A</v>
      </c>
    </row>
    <row r="7" spans="1:12" x14ac:dyDescent="0.25">
      <c r="A7" s="5" t="s">
        <v>22</v>
      </c>
      <c r="B7" s="5">
        <v>5.9160797830996161</v>
      </c>
      <c r="C7" s="5" t="s">
        <v>22</v>
      </c>
      <c r="D7" s="5">
        <v>2.7548999408709074</v>
      </c>
      <c r="E7" s="5" t="s">
        <v>22</v>
      </c>
      <c r="F7" s="5">
        <v>9.4311912514302154E-2</v>
      </c>
      <c r="G7" s="5" t="s">
        <v>22</v>
      </c>
      <c r="H7" s="5">
        <v>1.0320521202668818</v>
      </c>
      <c r="I7" s="5" t="s">
        <v>22</v>
      </c>
      <c r="J7" s="5">
        <v>1.4964871146156009</v>
      </c>
      <c r="K7" s="5" t="s">
        <v>22</v>
      </c>
      <c r="L7" s="5">
        <v>14.492375490871785</v>
      </c>
    </row>
    <row r="8" spans="1:12" x14ac:dyDescent="0.25">
      <c r="A8" s="5" t="s">
        <v>23</v>
      </c>
      <c r="B8" s="5">
        <v>35</v>
      </c>
      <c r="C8" s="5" t="s">
        <v>23</v>
      </c>
      <c r="D8" s="5">
        <v>7.589473684210529</v>
      </c>
      <c r="E8" s="5" t="s">
        <v>23</v>
      </c>
      <c r="F8" s="5">
        <v>8.8947368421053823E-3</v>
      </c>
      <c r="G8" s="5" t="s">
        <v>23</v>
      </c>
      <c r="H8" s="5">
        <v>1.0651315789473661</v>
      </c>
      <c r="I8" s="5" t="s">
        <v>23</v>
      </c>
      <c r="J8" s="5">
        <v>2.2394736842105267</v>
      </c>
      <c r="K8" s="5" t="s">
        <v>23</v>
      </c>
      <c r="L8" s="5">
        <v>210.0289473684212</v>
      </c>
    </row>
    <row r="9" spans="1:12" x14ac:dyDescent="0.25">
      <c r="A9" s="5" t="s">
        <v>24</v>
      </c>
      <c r="B9" s="5">
        <v>-1.2000000000000011</v>
      </c>
      <c r="C9" s="5" t="s">
        <v>24</v>
      </c>
      <c r="D9" s="5">
        <v>-1.0695928856979684</v>
      </c>
      <c r="E9" s="5" t="s">
        <v>24</v>
      </c>
      <c r="F9" s="5">
        <v>-1.0110295061619072</v>
      </c>
      <c r="G9" s="5" t="s">
        <v>24</v>
      </c>
      <c r="H9" s="5">
        <v>-0.86322307811945542</v>
      </c>
      <c r="I9" s="5" t="s">
        <v>24</v>
      </c>
      <c r="J9" s="5">
        <v>-0.92670025987531091</v>
      </c>
      <c r="K9" s="5" t="s">
        <v>24</v>
      </c>
      <c r="L9" s="5">
        <v>-1.1013457944799305</v>
      </c>
    </row>
    <row r="10" spans="1:12" x14ac:dyDescent="0.25">
      <c r="A10" s="5" t="s">
        <v>25</v>
      </c>
      <c r="B10" s="5">
        <v>0</v>
      </c>
      <c r="C10" s="5" t="s">
        <v>25</v>
      </c>
      <c r="D10" s="5">
        <v>1.2082871234061078E-2</v>
      </c>
      <c r="E10" s="5" t="s">
        <v>25</v>
      </c>
      <c r="F10" s="5">
        <v>-0.26560069663411351</v>
      </c>
      <c r="G10" s="5" t="s">
        <v>25</v>
      </c>
      <c r="H10" s="5">
        <v>-0.24507862040481887</v>
      </c>
      <c r="I10" s="5" t="s">
        <v>25</v>
      </c>
      <c r="J10" s="5">
        <v>0.14893215369866725</v>
      </c>
      <c r="K10" s="5" t="s">
        <v>25</v>
      </c>
      <c r="L10" s="5">
        <v>-0.11103291789871096</v>
      </c>
    </row>
    <row r="11" spans="1:12" x14ac:dyDescent="0.25">
      <c r="A11" s="5" t="s">
        <v>26</v>
      </c>
      <c r="B11" s="5">
        <v>19</v>
      </c>
      <c r="C11" s="5" t="s">
        <v>26</v>
      </c>
      <c r="D11" s="5">
        <v>9</v>
      </c>
      <c r="E11" s="5" t="s">
        <v>26</v>
      </c>
      <c r="F11" s="5">
        <v>0.31999999999999995</v>
      </c>
      <c r="G11" s="5" t="s">
        <v>26</v>
      </c>
      <c r="H11" s="5">
        <v>3.5</v>
      </c>
      <c r="I11" s="5" t="s">
        <v>26</v>
      </c>
      <c r="J11" s="5">
        <v>5</v>
      </c>
      <c r="K11" s="5" t="s">
        <v>26</v>
      </c>
      <c r="L11" s="5">
        <v>48</v>
      </c>
    </row>
    <row r="12" spans="1:12" x14ac:dyDescent="0.25">
      <c r="A12" s="5" t="s">
        <v>27</v>
      </c>
      <c r="B12" s="5">
        <v>1</v>
      </c>
      <c r="C12" s="5" t="s">
        <v>27</v>
      </c>
      <c r="D12" s="5">
        <v>1</v>
      </c>
      <c r="E12" s="5" t="s">
        <v>27</v>
      </c>
      <c r="F12" s="5">
        <v>0.62</v>
      </c>
      <c r="G12" s="5" t="s">
        <v>27</v>
      </c>
      <c r="H12" s="5">
        <v>5</v>
      </c>
      <c r="I12" s="5" t="s">
        <v>27</v>
      </c>
      <c r="J12" s="5">
        <v>0</v>
      </c>
      <c r="K12" s="5" t="s">
        <v>27</v>
      </c>
      <c r="L12" s="5">
        <v>40</v>
      </c>
    </row>
    <row r="13" spans="1:12" x14ac:dyDescent="0.25">
      <c r="A13" s="5" t="s">
        <v>28</v>
      </c>
      <c r="B13" s="5">
        <v>20</v>
      </c>
      <c r="C13" s="5" t="s">
        <v>28</v>
      </c>
      <c r="D13" s="5">
        <v>10</v>
      </c>
      <c r="E13" s="5" t="s">
        <v>28</v>
      </c>
      <c r="F13" s="5">
        <v>0.94</v>
      </c>
      <c r="G13" s="5" t="s">
        <v>28</v>
      </c>
      <c r="H13" s="5">
        <v>8.5</v>
      </c>
      <c r="I13" s="5" t="s">
        <v>28</v>
      </c>
      <c r="J13" s="5">
        <v>5</v>
      </c>
      <c r="K13" s="5" t="s">
        <v>28</v>
      </c>
      <c r="L13" s="5">
        <v>88</v>
      </c>
    </row>
    <row r="14" spans="1:12" x14ac:dyDescent="0.25">
      <c r="A14" s="5" t="s">
        <v>29</v>
      </c>
      <c r="B14" s="5">
        <v>210</v>
      </c>
      <c r="C14" s="5" t="s">
        <v>29</v>
      </c>
      <c r="D14" s="5">
        <v>114</v>
      </c>
      <c r="E14" s="5" t="s">
        <v>29</v>
      </c>
      <c r="F14" s="5">
        <v>15.999999999999998</v>
      </c>
      <c r="G14" s="5" t="s">
        <v>29</v>
      </c>
      <c r="H14" s="5">
        <v>139.5</v>
      </c>
      <c r="I14" s="5" t="s">
        <v>29</v>
      </c>
      <c r="J14" s="5">
        <v>53</v>
      </c>
      <c r="K14" s="5" t="s">
        <v>29</v>
      </c>
      <c r="L14" s="5">
        <v>1317</v>
      </c>
    </row>
    <row r="15" spans="1:12" ht="15.75" thickBot="1" x14ac:dyDescent="0.3">
      <c r="A15" s="6" t="s">
        <v>30</v>
      </c>
      <c r="B15" s="6">
        <v>20</v>
      </c>
      <c r="C15" s="6" t="s">
        <v>30</v>
      </c>
      <c r="D15" s="6">
        <v>20</v>
      </c>
      <c r="E15" s="6" t="s">
        <v>30</v>
      </c>
      <c r="F15" s="6">
        <v>20</v>
      </c>
      <c r="G15" s="6" t="s">
        <v>30</v>
      </c>
      <c r="H15" s="6">
        <v>20</v>
      </c>
      <c r="I15" s="6" t="s">
        <v>30</v>
      </c>
      <c r="J15" s="6">
        <v>20</v>
      </c>
      <c r="K15" s="6" t="s">
        <v>30</v>
      </c>
      <c r="L15" s="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6D97-B094-46C6-8037-BBECB6EDF1D0}">
  <dimension ref="A1:G16"/>
  <sheetViews>
    <sheetView workbookViewId="0">
      <selection sqref="A1:G16"/>
    </sheetView>
  </sheetViews>
  <sheetFormatPr defaultRowHeight="15" x14ac:dyDescent="0.25"/>
  <sheetData>
    <row r="1" spans="1:7" x14ac:dyDescent="0.25">
      <c r="A1" t="s">
        <v>31</v>
      </c>
    </row>
    <row r="3" spans="1:7" ht="15.75" thickBot="1" x14ac:dyDescent="0.3">
      <c r="A3" t="s">
        <v>32</v>
      </c>
    </row>
    <row r="4" spans="1:7" x14ac:dyDescent="0.25">
      <c r="A4" s="7" t="s">
        <v>33</v>
      </c>
      <c r="B4" s="7" t="s">
        <v>30</v>
      </c>
      <c r="C4" s="7" t="s">
        <v>29</v>
      </c>
      <c r="D4" s="7" t="s">
        <v>34</v>
      </c>
      <c r="E4" s="7" t="s">
        <v>35</v>
      </c>
    </row>
    <row r="5" spans="1:7" x14ac:dyDescent="0.25">
      <c r="A5" s="5" t="s">
        <v>6</v>
      </c>
      <c r="B5" s="5">
        <v>20</v>
      </c>
      <c r="C5" s="5">
        <v>210</v>
      </c>
      <c r="D5" s="5">
        <v>10.5</v>
      </c>
      <c r="E5" s="5">
        <v>35</v>
      </c>
    </row>
    <row r="6" spans="1:7" x14ac:dyDescent="0.25">
      <c r="A6" s="5" t="s">
        <v>7</v>
      </c>
      <c r="B6" s="5">
        <v>20</v>
      </c>
      <c r="C6" s="5">
        <v>114</v>
      </c>
      <c r="D6" s="5">
        <v>5.7</v>
      </c>
      <c r="E6" s="5">
        <v>7.589473684210529</v>
      </c>
    </row>
    <row r="7" spans="1:7" x14ac:dyDescent="0.25">
      <c r="A7" s="5" t="s">
        <v>8</v>
      </c>
      <c r="B7" s="5">
        <v>20</v>
      </c>
      <c r="C7" s="5">
        <v>15.999999999999998</v>
      </c>
      <c r="D7" s="5">
        <v>0.79999999999999993</v>
      </c>
      <c r="E7" s="5">
        <v>8.8947368421053823E-3</v>
      </c>
    </row>
    <row r="8" spans="1:7" ht="15.75" thickBot="1" x14ac:dyDescent="0.3">
      <c r="A8" s="6" t="s">
        <v>9</v>
      </c>
      <c r="B8" s="6">
        <v>20</v>
      </c>
      <c r="C8" s="6">
        <v>139.5</v>
      </c>
      <c r="D8" s="6">
        <v>6.9749999999999996</v>
      </c>
      <c r="E8" s="6">
        <v>1.0651315789473661</v>
      </c>
    </row>
    <row r="11" spans="1:7" ht="15.75" thickBot="1" x14ac:dyDescent="0.3">
      <c r="A11" t="s">
        <v>36</v>
      </c>
    </row>
    <row r="12" spans="1:7" x14ac:dyDescent="0.25">
      <c r="A12" s="7" t="s">
        <v>37</v>
      </c>
      <c r="B12" s="7" t="s">
        <v>38</v>
      </c>
      <c r="C12" s="7" t="s">
        <v>39</v>
      </c>
      <c r="D12" s="7" t="s">
        <v>40</v>
      </c>
      <c r="E12" s="7" t="s">
        <v>41</v>
      </c>
      <c r="F12" s="7" t="s">
        <v>42</v>
      </c>
      <c r="G12" s="7" t="s">
        <v>43</v>
      </c>
    </row>
    <row r="13" spans="1:7" x14ac:dyDescent="0.25">
      <c r="A13" s="5" t="s">
        <v>44</v>
      </c>
      <c r="B13" s="5">
        <v>966.60937500000011</v>
      </c>
      <c r="C13" s="5">
        <v>3</v>
      </c>
      <c r="D13" s="5">
        <v>322.20312500000006</v>
      </c>
      <c r="E13" s="5">
        <v>29.516930617105828</v>
      </c>
      <c r="F13" s="5">
        <v>9.2952801118429355E-13</v>
      </c>
      <c r="G13" s="5">
        <v>2.7249439202759191</v>
      </c>
    </row>
    <row r="14" spans="1:7" x14ac:dyDescent="0.25">
      <c r="A14" s="5" t="s">
        <v>45</v>
      </c>
      <c r="B14" s="5">
        <v>829.60649999999998</v>
      </c>
      <c r="C14" s="5">
        <v>76</v>
      </c>
      <c r="D14" s="5">
        <v>10.915875</v>
      </c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ht="15.75" thickBot="1" x14ac:dyDescent="0.3">
      <c r="A16" s="6" t="s">
        <v>46</v>
      </c>
      <c r="B16" s="6">
        <v>1796.2158750000001</v>
      </c>
      <c r="C16" s="6">
        <v>79</v>
      </c>
      <c r="D16" s="6"/>
      <c r="E16" s="6"/>
      <c r="F16" s="6"/>
      <c r="G1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0223-F68F-46BA-9936-B6F717A22545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7" t="s">
        <v>83</v>
      </c>
      <c r="B1" s="7" t="s">
        <v>85</v>
      </c>
    </row>
    <row r="2" spans="1:2" x14ac:dyDescent="0.25">
      <c r="A2" s="5">
        <v>1</v>
      </c>
      <c r="B2" s="5">
        <v>1</v>
      </c>
    </row>
    <row r="3" spans="1:2" x14ac:dyDescent="0.25">
      <c r="A3" s="5">
        <v>27.333333333333332</v>
      </c>
      <c r="B3" s="5">
        <v>26</v>
      </c>
    </row>
    <row r="4" spans="1:2" x14ac:dyDescent="0.25">
      <c r="A4" s="5">
        <v>53.666666666666664</v>
      </c>
      <c r="B4" s="5">
        <v>1</v>
      </c>
    </row>
    <row r="5" spans="1:2" ht="15.75" thickBot="1" x14ac:dyDescent="0.3">
      <c r="A5" s="6" t="s">
        <v>84</v>
      </c>
      <c r="B5" s="6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C896-DB31-4BED-8A62-2AED73FD52DD}">
  <dimension ref="A1:G38"/>
  <sheetViews>
    <sheetView workbookViewId="0">
      <selection sqref="A1:G36"/>
    </sheetView>
  </sheetViews>
  <sheetFormatPr defaultRowHeight="15" x14ac:dyDescent="0.25"/>
  <sheetData>
    <row r="1" spans="1:5" x14ac:dyDescent="0.25">
      <c r="A1" t="s">
        <v>86</v>
      </c>
    </row>
    <row r="2" spans="1:5" ht="15.75" thickBot="1" x14ac:dyDescent="0.3"/>
    <row r="3" spans="1:5" x14ac:dyDescent="0.25">
      <c r="A3" s="7" t="s">
        <v>32</v>
      </c>
      <c r="B3" s="7" t="s">
        <v>30</v>
      </c>
      <c r="C3" s="7" t="s">
        <v>29</v>
      </c>
      <c r="D3" s="7" t="s">
        <v>34</v>
      </c>
      <c r="E3" s="7" t="s">
        <v>35</v>
      </c>
    </row>
    <row r="4" spans="1:5" x14ac:dyDescent="0.25">
      <c r="A4" s="5" t="s">
        <v>63</v>
      </c>
      <c r="B4" s="5">
        <v>5</v>
      </c>
      <c r="C4" s="5">
        <v>141</v>
      </c>
      <c r="D4" s="5">
        <v>28.2</v>
      </c>
      <c r="E4" s="5">
        <v>660.2</v>
      </c>
    </row>
    <row r="5" spans="1:5" x14ac:dyDescent="0.25">
      <c r="A5" s="5" t="s">
        <v>64</v>
      </c>
      <c r="B5" s="5">
        <v>5</v>
      </c>
      <c r="C5" s="5">
        <v>151</v>
      </c>
      <c r="D5" s="5">
        <v>30.2</v>
      </c>
      <c r="E5" s="5">
        <v>686.2</v>
      </c>
    </row>
    <row r="6" spans="1:5" x14ac:dyDescent="0.25">
      <c r="A6" s="5" t="s">
        <v>65</v>
      </c>
      <c r="B6" s="5">
        <v>5</v>
      </c>
      <c r="C6" s="5">
        <v>158</v>
      </c>
      <c r="D6" s="5">
        <v>31.6</v>
      </c>
      <c r="E6" s="5">
        <v>718.3</v>
      </c>
    </row>
    <row r="7" spans="1:5" x14ac:dyDescent="0.25">
      <c r="A7" s="5" t="s">
        <v>66</v>
      </c>
      <c r="B7" s="5">
        <v>5</v>
      </c>
      <c r="C7" s="5">
        <v>168</v>
      </c>
      <c r="D7" s="5">
        <v>33.6</v>
      </c>
      <c r="E7" s="5">
        <v>746.3</v>
      </c>
    </row>
    <row r="8" spans="1:5" x14ac:dyDescent="0.25">
      <c r="A8" s="5" t="s">
        <v>67</v>
      </c>
      <c r="B8" s="5">
        <v>5</v>
      </c>
      <c r="C8" s="5">
        <v>174</v>
      </c>
      <c r="D8" s="5">
        <v>34.799999999999997</v>
      </c>
      <c r="E8" s="5">
        <v>790.7</v>
      </c>
    </row>
    <row r="9" spans="1:5" x14ac:dyDescent="0.25">
      <c r="A9" s="5" t="s">
        <v>68</v>
      </c>
      <c r="B9" s="5">
        <v>5</v>
      </c>
      <c r="C9" s="5">
        <v>183</v>
      </c>
      <c r="D9" s="5">
        <v>36.6</v>
      </c>
      <c r="E9" s="5">
        <v>830.8</v>
      </c>
    </row>
    <row r="10" spans="1:5" x14ac:dyDescent="0.25">
      <c r="A10" s="5" t="s">
        <v>69</v>
      </c>
      <c r="B10" s="5">
        <v>5</v>
      </c>
      <c r="C10" s="5">
        <v>189</v>
      </c>
      <c r="D10" s="5">
        <v>37.799999999999997</v>
      </c>
      <c r="E10" s="5">
        <v>851.7</v>
      </c>
    </row>
    <row r="11" spans="1:5" x14ac:dyDescent="0.25">
      <c r="A11" s="5" t="s">
        <v>70</v>
      </c>
      <c r="B11" s="5">
        <v>5</v>
      </c>
      <c r="C11" s="5">
        <v>199</v>
      </c>
      <c r="D11" s="5">
        <v>39.799999999999997</v>
      </c>
      <c r="E11" s="5">
        <v>883.7</v>
      </c>
    </row>
    <row r="12" spans="1:5" x14ac:dyDescent="0.25">
      <c r="A12" s="5" t="s">
        <v>71</v>
      </c>
      <c r="B12" s="5">
        <v>5</v>
      </c>
      <c r="C12" s="5">
        <v>204</v>
      </c>
      <c r="D12" s="5">
        <v>40.799999999999997</v>
      </c>
      <c r="E12" s="5">
        <v>916.69999999999982</v>
      </c>
    </row>
    <row r="13" spans="1:5" x14ac:dyDescent="0.25">
      <c r="A13" s="5" t="s">
        <v>72</v>
      </c>
      <c r="B13" s="5">
        <v>5</v>
      </c>
      <c r="C13" s="5">
        <v>212</v>
      </c>
      <c r="D13" s="5">
        <v>42.4</v>
      </c>
      <c r="E13" s="5">
        <v>944.80000000000018</v>
      </c>
    </row>
    <row r="14" spans="1:5" x14ac:dyDescent="0.25">
      <c r="A14" s="5" t="s">
        <v>73</v>
      </c>
      <c r="B14" s="5">
        <v>5</v>
      </c>
      <c r="C14" s="5">
        <v>218</v>
      </c>
      <c r="D14" s="5">
        <v>43.6</v>
      </c>
      <c r="E14" s="5">
        <v>969.30000000000018</v>
      </c>
    </row>
    <row r="15" spans="1:5" x14ac:dyDescent="0.25">
      <c r="A15" s="5" t="s">
        <v>74</v>
      </c>
      <c r="B15" s="5">
        <v>5</v>
      </c>
      <c r="C15" s="5">
        <v>227</v>
      </c>
      <c r="D15" s="5">
        <v>45.4</v>
      </c>
      <c r="E15" s="5">
        <v>1014.8000000000002</v>
      </c>
    </row>
    <row r="16" spans="1:5" x14ac:dyDescent="0.25">
      <c r="A16" s="5" t="s">
        <v>75</v>
      </c>
      <c r="B16" s="5">
        <v>5</v>
      </c>
      <c r="C16" s="5">
        <v>232</v>
      </c>
      <c r="D16" s="5">
        <v>46.4</v>
      </c>
      <c r="E16" s="5">
        <v>1051.3000000000002</v>
      </c>
    </row>
    <row r="17" spans="1:5" x14ac:dyDescent="0.25">
      <c r="A17" s="5" t="s">
        <v>76</v>
      </c>
      <c r="B17" s="5">
        <v>5</v>
      </c>
      <c r="C17" s="5">
        <v>242</v>
      </c>
      <c r="D17" s="5">
        <v>48.4</v>
      </c>
      <c r="E17" s="5">
        <v>1088.8000000000002</v>
      </c>
    </row>
    <row r="18" spans="1:5" x14ac:dyDescent="0.25">
      <c r="A18" s="5" t="s">
        <v>77</v>
      </c>
      <c r="B18" s="5">
        <v>5</v>
      </c>
      <c r="C18" s="5">
        <v>250</v>
      </c>
      <c r="D18" s="5">
        <v>50</v>
      </c>
      <c r="E18" s="5">
        <v>1130</v>
      </c>
    </row>
    <row r="19" spans="1:5" x14ac:dyDescent="0.25">
      <c r="A19" s="5" t="s">
        <v>78</v>
      </c>
      <c r="B19" s="5">
        <v>5</v>
      </c>
      <c r="C19" s="5">
        <v>256</v>
      </c>
      <c r="D19" s="5">
        <v>51.2</v>
      </c>
      <c r="E19" s="5">
        <v>1148.1999999999998</v>
      </c>
    </row>
    <row r="20" spans="1:5" x14ac:dyDescent="0.25">
      <c r="A20" s="5" t="s">
        <v>79</v>
      </c>
      <c r="B20" s="5">
        <v>5</v>
      </c>
      <c r="C20" s="5">
        <v>264</v>
      </c>
      <c r="D20" s="5">
        <v>52.8</v>
      </c>
      <c r="E20" s="5">
        <v>1191.1999999999998</v>
      </c>
    </row>
    <row r="21" spans="1:5" x14ac:dyDescent="0.25">
      <c r="A21" s="5" t="s">
        <v>80</v>
      </c>
      <c r="B21" s="5">
        <v>5</v>
      </c>
      <c r="C21" s="5">
        <v>270</v>
      </c>
      <c r="D21" s="5">
        <v>54</v>
      </c>
      <c r="E21" s="5">
        <v>1210</v>
      </c>
    </row>
    <row r="22" spans="1:5" x14ac:dyDescent="0.25">
      <c r="A22" s="5" t="s">
        <v>81</v>
      </c>
      <c r="B22" s="5">
        <v>5</v>
      </c>
      <c r="C22" s="5">
        <v>279</v>
      </c>
      <c r="D22" s="5">
        <v>55.8</v>
      </c>
      <c r="E22" s="5">
        <v>1274.1999999999998</v>
      </c>
    </row>
    <row r="23" spans="1:5" x14ac:dyDescent="0.25">
      <c r="A23" s="5" t="s">
        <v>82</v>
      </c>
      <c r="B23" s="5">
        <v>5</v>
      </c>
      <c r="C23" s="5">
        <v>289</v>
      </c>
      <c r="D23" s="5">
        <v>57.8</v>
      </c>
      <c r="E23" s="5">
        <v>1317.1999999999998</v>
      </c>
    </row>
    <row r="24" spans="1:5" x14ac:dyDescent="0.25">
      <c r="A24" s="5"/>
      <c r="B24" s="5"/>
      <c r="C24" s="5"/>
      <c r="D24" s="5"/>
      <c r="E24" s="5"/>
    </row>
    <row r="25" spans="1:5" x14ac:dyDescent="0.25">
      <c r="A25" s="5" t="s">
        <v>58</v>
      </c>
      <c r="B25" s="5">
        <v>20</v>
      </c>
      <c r="C25" s="5">
        <v>120</v>
      </c>
      <c r="D25" s="5">
        <v>6</v>
      </c>
      <c r="E25" s="5">
        <v>8.9473684210526319</v>
      </c>
    </row>
    <row r="26" spans="1:5" x14ac:dyDescent="0.25">
      <c r="A26" s="5" t="s">
        <v>59</v>
      </c>
      <c r="B26" s="5">
        <v>20</v>
      </c>
      <c r="C26" s="5">
        <v>461</v>
      </c>
      <c r="D26" s="5">
        <v>23.05</v>
      </c>
      <c r="E26" s="5">
        <v>79.734210526315834</v>
      </c>
    </row>
    <row r="27" spans="1:5" x14ac:dyDescent="0.25">
      <c r="A27" s="5" t="s">
        <v>60</v>
      </c>
      <c r="B27" s="5">
        <v>20</v>
      </c>
      <c r="C27" s="5">
        <v>1488</v>
      </c>
      <c r="D27" s="5">
        <v>74.400000000000006</v>
      </c>
      <c r="E27" s="5">
        <v>92.357894736842255</v>
      </c>
    </row>
    <row r="28" spans="1:5" x14ac:dyDescent="0.25">
      <c r="A28" s="5" t="s">
        <v>61</v>
      </c>
      <c r="B28" s="5">
        <v>20</v>
      </c>
      <c r="C28" s="5">
        <v>734</v>
      </c>
      <c r="D28" s="5">
        <v>36.700000000000003</v>
      </c>
      <c r="E28" s="5">
        <v>83.90526315789478</v>
      </c>
    </row>
    <row r="29" spans="1:5" ht="15.75" thickBot="1" x14ac:dyDescent="0.3">
      <c r="A29" s="6" t="s">
        <v>62</v>
      </c>
      <c r="B29" s="6">
        <v>20</v>
      </c>
      <c r="C29" s="6">
        <v>1503</v>
      </c>
      <c r="D29" s="6">
        <v>75.150000000000006</v>
      </c>
      <c r="E29" s="6">
        <v>195.39736842105279</v>
      </c>
    </row>
    <row r="32" spans="1:5" ht="15.75" thickBot="1" x14ac:dyDescent="0.3">
      <c r="A32" t="s">
        <v>36</v>
      </c>
    </row>
    <row r="33" spans="1:7" x14ac:dyDescent="0.25">
      <c r="A33" s="7" t="s">
        <v>37</v>
      </c>
      <c r="B33" s="7" t="s">
        <v>38</v>
      </c>
      <c r="C33" s="7" t="s">
        <v>39</v>
      </c>
      <c r="D33" s="7" t="s">
        <v>40</v>
      </c>
      <c r="E33" s="7" t="s">
        <v>41</v>
      </c>
      <c r="F33" s="7" t="s">
        <v>42</v>
      </c>
      <c r="G33" s="7" t="s">
        <v>43</v>
      </c>
    </row>
    <row r="34" spans="1:7" x14ac:dyDescent="0.25">
      <c r="A34" s="5" t="s">
        <v>87</v>
      </c>
      <c r="B34" s="5">
        <v>7574.0400000000081</v>
      </c>
      <c r="C34" s="5">
        <v>19</v>
      </c>
      <c r="D34" s="5">
        <v>398.63368421052672</v>
      </c>
      <c r="E34" s="5">
        <v>25.839823959879432</v>
      </c>
      <c r="F34" s="5">
        <v>1.2585695254486171E-25</v>
      </c>
      <c r="G34" s="5">
        <v>1.7250290947358735</v>
      </c>
    </row>
    <row r="35" spans="1:7" x14ac:dyDescent="0.25">
      <c r="A35" s="5" t="s">
        <v>88</v>
      </c>
      <c r="B35" s="5">
        <v>76525.14</v>
      </c>
      <c r="C35" s="5">
        <v>4</v>
      </c>
      <c r="D35" s="5">
        <v>19131.285</v>
      </c>
      <c r="E35" s="5">
        <v>1240.1085410163332</v>
      </c>
      <c r="F35" s="5">
        <v>2.3706535743212596E-68</v>
      </c>
      <c r="G35" s="5">
        <v>2.492049297224403</v>
      </c>
    </row>
    <row r="36" spans="1:7" x14ac:dyDescent="0.25">
      <c r="A36" s="5" t="s">
        <v>89</v>
      </c>
      <c r="B36" s="5">
        <v>1172.4599999999919</v>
      </c>
      <c r="C36" s="5">
        <v>76</v>
      </c>
      <c r="D36" s="5">
        <v>15.427105263157788</v>
      </c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ht="15.75" thickBot="1" x14ac:dyDescent="0.3">
      <c r="A38" s="6" t="s">
        <v>46</v>
      </c>
      <c r="B38" s="6">
        <v>85271.64</v>
      </c>
      <c r="C38" s="6">
        <v>99</v>
      </c>
      <c r="D38" s="6"/>
      <c r="E38" s="6"/>
      <c r="F38" s="6"/>
      <c r="G3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DFC3-EC65-4A3D-892E-E7941B55AC96}">
  <dimension ref="A1:F6"/>
  <sheetViews>
    <sheetView workbookViewId="0">
      <selection sqref="A1:F6"/>
    </sheetView>
  </sheetViews>
  <sheetFormatPr defaultRowHeight="15" x14ac:dyDescent="0.25"/>
  <sheetData>
    <row r="1" spans="1:6" x14ac:dyDescent="0.25">
      <c r="A1" s="7"/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</row>
    <row r="2" spans="1:6" x14ac:dyDescent="0.25">
      <c r="A2" s="5" t="s">
        <v>6</v>
      </c>
      <c r="B2" s="5">
        <f>VARP(Sheet1!$V$2:$V$21)</f>
        <v>8.5</v>
      </c>
      <c r="C2" s="5"/>
      <c r="D2" s="5"/>
      <c r="E2" s="5"/>
      <c r="F2" s="5"/>
    </row>
    <row r="3" spans="1:6" x14ac:dyDescent="0.25">
      <c r="A3" s="5" t="s">
        <v>7</v>
      </c>
      <c r="B3" s="5">
        <v>25.250000000000004</v>
      </c>
      <c r="C3" s="5">
        <f>VARP(Sheet1!$W$2:$W$21)</f>
        <v>75.747500000000002</v>
      </c>
      <c r="D3" s="5"/>
      <c r="E3" s="5"/>
      <c r="F3" s="5"/>
    </row>
    <row r="4" spans="1:6" x14ac:dyDescent="0.25">
      <c r="A4" s="5" t="s">
        <v>8</v>
      </c>
      <c r="B4" s="5">
        <v>27.2</v>
      </c>
      <c r="C4" s="5">
        <v>81.429999999999993</v>
      </c>
      <c r="D4" s="5">
        <f>VARP(Sheet1!$X$2:$X$21)</f>
        <v>87.74</v>
      </c>
      <c r="E4" s="5"/>
      <c r="F4" s="5"/>
    </row>
    <row r="5" spans="1:6" x14ac:dyDescent="0.25">
      <c r="A5" s="5" t="s">
        <v>9</v>
      </c>
      <c r="B5" s="5">
        <v>25.95</v>
      </c>
      <c r="C5" s="5">
        <v>77.614999999999995</v>
      </c>
      <c r="D5" s="5">
        <v>83.52000000000001</v>
      </c>
      <c r="E5" s="5">
        <f>VARP(Sheet1!$Y$2:$Y$21)</f>
        <v>79.709999999999994</v>
      </c>
      <c r="F5" s="5"/>
    </row>
    <row r="6" spans="1:6" ht="15.75" thickBot="1" x14ac:dyDescent="0.3">
      <c r="A6" s="6" t="s">
        <v>10</v>
      </c>
      <c r="B6" s="6">
        <v>39.6</v>
      </c>
      <c r="C6" s="6">
        <v>118.4425</v>
      </c>
      <c r="D6" s="6">
        <v>127.53999999999996</v>
      </c>
      <c r="E6" s="6">
        <v>121.54500000000004</v>
      </c>
      <c r="F6" s="6">
        <f>VARP(Sheet1!$Z$2:$Z$21)</f>
        <v>185.6275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11B9-2906-4B4C-B930-564A077FFBDD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s="7"/>
      <c r="B1" s="7" t="s">
        <v>6</v>
      </c>
      <c r="C1" s="7" t="s">
        <v>7</v>
      </c>
    </row>
    <row r="2" spans="1:3" x14ac:dyDescent="0.25">
      <c r="A2" s="5" t="s">
        <v>6</v>
      </c>
      <c r="B2" s="5">
        <v>1</v>
      </c>
      <c r="C2" s="5"/>
    </row>
    <row r="3" spans="1:3" ht="15.75" thickBot="1" x14ac:dyDescent="0.3">
      <c r="A3" s="6" t="s">
        <v>7</v>
      </c>
      <c r="B3" s="6">
        <v>0.90251353780460153</v>
      </c>
      <c r="C3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73FC-5883-4BB2-B931-008992830019}">
  <dimension ref="A1:F15"/>
  <sheetViews>
    <sheetView workbookViewId="0">
      <selection sqref="A1:F15"/>
    </sheetView>
  </sheetViews>
  <sheetFormatPr defaultRowHeight="15" x14ac:dyDescent="0.25"/>
  <sheetData>
    <row r="1" spans="1:6" x14ac:dyDescent="0.25">
      <c r="A1" s="7" t="s">
        <v>12</v>
      </c>
      <c r="B1" s="7"/>
      <c r="C1" s="7" t="s">
        <v>13</v>
      </c>
      <c r="D1" s="7"/>
      <c r="E1" s="7" t="s">
        <v>14</v>
      </c>
      <c r="F1" s="7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5" t="s">
        <v>18</v>
      </c>
      <c r="B3" s="5">
        <v>0.77111111111111108</v>
      </c>
      <c r="C3" s="5" t="s">
        <v>18</v>
      </c>
      <c r="D3" s="5">
        <v>6.7777777777777777</v>
      </c>
      <c r="E3" s="5" t="s">
        <v>18</v>
      </c>
      <c r="F3" s="5">
        <v>2.1111111111111112</v>
      </c>
    </row>
    <row r="4" spans="1:6" x14ac:dyDescent="0.25">
      <c r="A4" s="5" t="s">
        <v>19</v>
      </c>
      <c r="B4" s="5">
        <v>2.2939803135625086E-2</v>
      </c>
      <c r="C4" s="5" t="s">
        <v>19</v>
      </c>
      <c r="D4" s="5">
        <v>0.25153847605937235</v>
      </c>
      <c r="E4" s="5" t="s">
        <v>19</v>
      </c>
      <c r="F4" s="5">
        <v>0.35136418446315321</v>
      </c>
    </row>
    <row r="5" spans="1:6" x14ac:dyDescent="0.25">
      <c r="A5" s="5" t="s">
        <v>20</v>
      </c>
      <c r="B5" s="5">
        <v>0.76</v>
      </c>
      <c r="C5" s="5" t="s">
        <v>20</v>
      </c>
      <c r="D5" s="5">
        <v>7</v>
      </c>
      <c r="E5" s="5" t="s">
        <v>20</v>
      </c>
      <c r="F5" s="5">
        <v>2</v>
      </c>
    </row>
    <row r="6" spans="1:6" x14ac:dyDescent="0.25">
      <c r="A6" s="5" t="s">
        <v>21</v>
      </c>
      <c r="B6" s="5" t="e">
        <v>#N/A</v>
      </c>
      <c r="C6" s="5" t="s">
        <v>21</v>
      </c>
      <c r="D6" s="5">
        <v>7</v>
      </c>
      <c r="E6" s="5" t="s">
        <v>21</v>
      </c>
      <c r="F6" s="5">
        <v>1</v>
      </c>
    </row>
    <row r="7" spans="1:6" x14ac:dyDescent="0.25">
      <c r="A7" s="5" t="s">
        <v>22</v>
      </c>
      <c r="B7" s="5">
        <v>6.8819409406875254E-2</v>
      </c>
      <c r="C7" s="5" t="s">
        <v>22</v>
      </c>
      <c r="D7" s="5">
        <v>0.754615428178117</v>
      </c>
      <c r="E7" s="5" t="s">
        <v>22</v>
      </c>
      <c r="F7" s="5">
        <v>1.0540925533894596</v>
      </c>
    </row>
    <row r="8" spans="1:6" x14ac:dyDescent="0.25">
      <c r="A8" s="5" t="s">
        <v>23</v>
      </c>
      <c r="B8" s="5">
        <v>4.7361111111111102E-3</v>
      </c>
      <c r="C8" s="5" t="s">
        <v>23</v>
      </c>
      <c r="D8" s="5">
        <v>0.56944444444444287</v>
      </c>
      <c r="E8" s="5" t="s">
        <v>23</v>
      </c>
      <c r="F8" s="5">
        <v>1.1111111111111107</v>
      </c>
    </row>
    <row r="9" spans="1:6" x14ac:dyDescent="0.25">
      <c r="A9" s="5" t="s">
        <v>24</v>
      </c>
      <c r="B9" s="5">
        <v>-1.1392825507667981</v>
      </c>
      <c r="C9" s="5" t="s">
        <v>24</v>
      </c>
      <c r="D9" s="5">
        <v>1.682671878983566E-2</v>
      </c>
      <c r="E9" s="5" t="s">
        <v>24</v>
      </c>
      <c r="F9" s="5">
        <v>-0.5464285714285726</v>
      </c>
    </row>
    <row r="10" spans="1:6" x14ac:dyDescent="0.25">
      <c r="A10" s="5" t="s">
        <v>25</v>
      </c>
      <c r="B10" s="5">
        <v>0.30802584423094465</v>
      </c>
      <c r="C10" s="5" t="s">
        <v>25</v>
      </c>
      <c r="D10" s="5">
        <v>-0.13621170812019354</v>
      </c>
      <c r="E10" s="5" t="s">
        <v>25</v>
      </c>
      <c r="F10" s="5">
        <v>0.55226920565083426</v>
      </c>
    </row>
    <row r="11" spans="1:6" x14ac:dyDescent="0.25">
      <c r="A11" s="5" t="s">
        <v>26</v>
      </c>
      <c r="B11" s="5">
        <v>0.19999999999999996</v>
      </c>
      <c r="C11" s="5" t="s">
        <v>26</v>
      </c>
      <c r="D11" s="5">
        <v>2.5</v>
      </c>
      <c r="E11" s="5" t="s">
        <v>26</v>
      </c>
      <c r="F11" s="5">
        <v>3</v>
      </c>
    </row>
    <row r="12" spans="1:6" x14ac:dyDescent="0.25">
      <c r="A12" s="5" t="s">
        <v>27</v>
      </c>
      <c r="B12" s="5">
        <v>0.68</v>
      </c>
      <c r="C12" s="5" t="s">
        <v>27</v>
      </c>
      <c r="D12" s="5">
        <v>5.5</v>
      </c>
      <c r="E12" s="5" t="s">
        <v>27</v>
      </c>
      <c r="F12" s="5">
        <v>1</v>
      </c>
    </row>
    <row r="13" spans="1:6" x14ac:dyDescent="0.25">
      <c r="A13" s="5" t="s">
        <v>28</v>
      </c>
      <c r="B13" s="5">
        <v>0.88</v>
      </c>
      <c r="C13" s="5" t="s">
        <v>28</v>
      </c>
      <c r="D13" s="5">
        <v>8</v>
      </c>
      <c r="E13" s="5" t="s">
        <v>28</v>
      </c>
      <c r="F13" s="5">
        <v>4</v>
      </c>
    </row>
    <row r="14" spans="1:6" x14ac:dyDescent="0.25">
      <c r="A14" s="5" t="s">
        <v>29</v>
      </c>
      <c r="B14" s="5">
        <v>6.9399999999999995</v>
      </c>
      <c r="C14" s="5" t="s">
        <v>29</v>
      </c>
      <c r="D14" s="5">
        <v>61</v>
      </c>
      <c r="E14" s="5" t="s">
        <v>29</v>
      </c>
      <c r="F14" s="5">
        <v>19</v>
      </c>
    </row>
    <row r="15" spans="1:6" ht="15.75" thickBot="1" x14ac:dyDescent="0.3">
      <c r="A15" s="6" t="s">
        <v>30</v>
      </c>
      <c r="B15" s="6">
        <v>9</v>
      </c>
      <c r="C15" s="6" t="s">
        <v>30</v>
      </c>
      <c r="D15" s="6">
        <v>9</v>
      </c>
      <c r="E15" s="6" t="s">
        <v>30</v>
      </c>
      <c r="F15" s="6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8283-338F-4AF5-8D9F-5354457908DA}">
  <dimension ref="A1:D15"/>
  <sheetViews>
    <sheetView workbookViewId="0">
      <selection sqref="A1:D15"/>
    </sheetView>
  </sheetViews>
  <sheetFormatPr defaultRowHeight="15" x14ac:dyDescent="0.25"/>
  <sheetData>
    <row r="1" spans="1:4" x14ac:dyDescent="0.25">
      <c r="A1" s="7" t="s">
        <v>12</v>
      </c>
      <c r="B1" s="7"/>
      <c r="C1" s="7" t="s">
        <v>13</v>
      </c>
      <c r="D1" s="7"/>
    </row>
    <row r="2" spans="1:4" x14ac:dyDescent="0.25">
      <c r="A2" s="5"/>
      <c r="B2" s="5"/>
      <c r="C2" s="5"/>
      <c r="D2" s="5"/>
    </row>
    <row r="3" spans="1:4" x14ac:dyDescent="0.25">
      <c r="A3" s="5" t="s">
        <v>18</v>
      </c>
      <c r="B3" s="5">
        <v>6.4</v>
      </c>
      <c r="C3" s="5" t="s">
        <v>18</v>
      </c>
      <c r="D3" s="5">
        <v>1.4</v>
      </c>
    </row>
    <row r="4" spans="1:4" x14ac:dyDescent="0.25">
      <c r="A4" s="5" t="s">
        <v>19</v>
      </c>
      <c r="B4" s="5">
        <v>0.29154759474226499</v>
      </c>
      <c r="C4" s="5" t="s">
        <v>19</v>
      </c>
      <c r="D4" s="5">
        <v>0.24494897427831774</v>
      </c>
    </row>
    <row r="5" spans="1:4" x14ac:dyDescent="0.25">
      <c r="A5" s="5" t="s">
        <v>20</v>
      </c>
      <c r="B5" s="5">
        <v>6.5</v>
      </c>
      <c r="C5" s="5" t="s">
        <v>20</v>
      </c>
      <c r="D5" s="5">
        <v>1</v>
      </c>
    </row>
    <row r="6" spans="1:4" x14ac:dyDescent="0.25">
      <c r="A6" s="5" t="s">
        <v>21</v>
      </c>
      <c r="B6" s="5">
        <v>7</v>
      </c>
      <c r="C6" s="5" t="s">
        <v>21</v>
      </c>
      <c r="D6" s="5">
        <v>1</v>
      </c>
    </row>
    <row r="7" spans="1:4" x14ac:dyDescent="0.25">
      <c r="A7" s="5" t="s">
        <v>22</v>
      </c>
      <c r="B7" s="5">
        <v>0.65192024052026487</v>
      </c>
      <c r="C7" s="5" t="s">
        <v>22</v>
      </c>
      <c r="D7" s="5">
        <v>0.54772255750516596</v>
      </c>
    </row>
    <row r="8" spans="1:4" x14ac:dyDescent="0.25">
      <c r="A8" s="5" t="s">
        <v>23</v>
      </c>
      <c r="B8" s="5">
        <v>0.42500000000000004</v>
      </c>
      <c r="C8" s="5" t="s">
        <v>23</v>
      </c>
      <c r="D8" s="5">
        <v>0.29999999999999982</v>
      </c>
    </row>
    <row r="9" spans="1:4" x14ac:dyDescent="0.25">
      <c r="A9" s="5" t="s">
        <v>24</v>
      </c>
      <c r="B9" s="5">
        <v>-1.4878892733563971</v>
      </c>
      <c r="C9" s="5" t="s">
        <v>24</v>
      </c>
      <c r="D9" s="5">
        <v>-3.3333333333333313</v>
      </c>
    </row>
    <row r="10" spans="1:4" x14ac:dyDescent="0.25">
      <c r="A10" s="5" t="s">
        <v>25</v>
      </c>
      <c r="B10" s="5">
        <v>-0.54138705095108797</v>
      </c>
      <c r="C10" s="5" t="s">
        <v>25</v>
      </c>
      <c r="D10" s="5">
        <v>0.6085806194501856</v>
      </c>
    </row>
    <row r="11" spans="1:4" x14ac:dyDescent="0.25">
      <c r="A11" s="5" t="s">
        <v>26</v>
      </c>
      <c r="B11" s="5">
        <v>1.5</v>
      </c>
      <c r="C11" s="5" t="s">
        <v>26</v>
      </c>
      <c r="D11" s="5">
        <v>1</v>
      </c>
    </row>
    <row r="12" spans="1:4" x14ac:dyDescent="0.25">
      <c r="A12" s="5" t="s">
        <v>27</v>
      </c>
      <c r="B12" s="5">
        <v>5.5</v>
      </c>
      <c r="C12" s="5" t="s">
        <v>27</v>
      </c>
      <c r="D12" s="5">
        <v>1</v>
      </c>
    </row>
    <row r="13" spans="1:4" x14ac:dyDescent="0.25">
      <c r="A13" s="5" t="s">
        <v>28</v>
      </c>
      <c r="B13" s="5">
        <v>7</v>
      </c>
      <c r="C13" s="5" t="s">
        <v>28</v>
      </c>
      <c r="D13" s="5">
        <v>2</v>
      </c>
    </row>
    <row r="14" spans="1:4" x14ac:dyDescent="0.25">
      <c r="A14" s="5" t="s">
        <v>29</v>
      </c>
      <c r="B14" s="5">
        <v>32</v>
      </c>
      <c r="C14" s="5" t="s">
        <v>29</v>
      </c>
      <c r="D14" s="5">
        <v>7</v>
      </c>
    </row>
    <row r="15" spans="1:4" ht="15.75" thickBot="1" x14ac:dyDescent="0.3">
      <c r="A15" s="6" t="s">
        <v>30</v>
      </c>
      <c r="B15" s="6">
        <v>5</v>
      </c>
      <c r="C15" s="6" t="s">
        <v>30</v>
      </c>
      <c r="D15" s="6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2EC8-F65D-466F-9FF8-9EC505577BAA}">
  <dimension ref="A1:G16"/>
  <sheetViews>
    <sheetView topLeftCell="A4" workbookViewId="0">
      <selection activeCell="F37" sqref="F37"/>
    </sheetView>
  </sheetViews>
  <sheetFormatPr defaultRowHeight="15" x14ac:dyDescent="0.25"/>
  <sheetData>
    <row r="1" spans="1:7" x14ac:dyDescent="0.25">
      <c r="A1" t="s">
        <v>31</v>
      </c>
    </row>
    <row r="3" spans="1:7" ht="15.75" thickBot="1" x14ac:dyDescent="0.3">
      <c r="A3" t="s">
        <v>32</v>
      </c>
    </row>
    <row r="4" spans="1:7" x14ac:dyDescent="0.25">
      <c r="A4" s="7" t="s">
        <v>33</v>
      </c>
      <c r="B4" s="7" t="s">
        <v>30</v>
      </c>
      <c r="C4" s="7" t="s">
        <v>29</v>
      </c>
      <c r="D4" s="7" t="s">
        <v>34</v>
      </c>
      <c r="E4" s="7" t="s">
        <v>35</v>
      </c>
    </row>
    <row r="5" spans="1:7" x14ac:dyDescent="0.25">
      <c r="A5" s="5" t="s">
        <v>6</v>
      </c>
      <c r="B5" s="5">
        <v>20</v>
      </c>
      <c r="C5" s="5">
        <v>210</v>
      </c>
      <c r="D5" s="5">
        <v>10.5</v>
      </c>
      <c r="E5" s="5">
        <v>35</v>
      </c>
    </row>
    <row r="6" spans="1:7" x14ac:dyDescent="0.25">
      <c r="A6" s="5" t="s">
        <v>7</v>
      </c>
      <c r="B6" s="5">
        <v>20</v>
      </c>
      <c r="C6" s="5">
        <v>114</v>
      </c>
      <c r="D6" s="5">
        <v>5.7</v>
      </c>
      <c r="E6" s="5">
        <v>7.589473684210529</v>
      </c>
    </row>
    <row r="7" spans="1:7" x14ac:dyDescent="0.25">
      <c r="A7" s="5" t="s">
        <v>8</v>
      </c>
      <c r="B7" s="5">
        <v>20</v>
      </c>
      <c r="C7" s="5">
        <v>15.999999999999998</v>
      </c>
      <c r="D7" s="5">
        <v>0.79999999999999993</v>
      </c>
      <c r="E7" s="5">
        <v>8.8947368421053823E-3</v>
      </c>
    </row>
    <row r="8" spans="1:7" ht="15.75" thickBot="1" x14ac:dyDescent="0.3">
      <c r="A8" s="6" t="s">
        <v>9</v>
      </c>
      <c r="B8" s="6">
        <v>20</v>
      </c>
      <c r="C8" s="6">
        <v>139.5</v>
      </c>
      <c r="D8" s="6">
        <v>6.9749999999999996</v>
      </c>
      <c r="E8" s="6">
        <v>1.0651315789473661</v>
      </c>
    </row>
    <row r="11" spans="1:7" ht="15.75" thickBot="1" x14ac:dyDescent="0.3">
      <c r="A11" t="s">
        <v>36</v>
      </c>
    </row>
    <row r="12" spans="1:7" x14ac:dyDescent="0.25">
      <c r="A12" s="7" t="s">
        <v>37</v>
      </c>
      <c r="B12" s="7" t="s">
        <v>38</v>
      </c>
      <c r="C12" s="7" t="s">
        <v>39</v>
      </c>
      <c r="D12" s="7" t="s">
        <v>40</v>
      </c>
      <c r="E12" s="7" t="s">
        <v>41</v>
      </c>
      <c r="F12" s="7" t="s">
        <v>42</v>
      </c>
      <c r="G12" s="7" t="s">
        <v>43</v>
      </c>
    </row>
    <row r="13" spans="1:7" x14ac:dyDescent="0.25">
      <c r="A13" s="5" t="s">
        <v>44</v>
      </c>
      <c r="B13" s="5">
        <v>966.60937500000011</v>
      </c>
      <c r="C13" s="5">
        <v>3</v>
      </c>
      <c r="D13" s="5">
        <v>322.20312500000006</v>
      </c>
      <c r="E13" s="5">
        <v>29.516930617105828</v>
      </c>
      <c r="F13" s="5">
        <v>9.2952801118429355E-13</v>
      </c>
      <c r="G13" s="5">
        <v>2.7249439202759191</v>
      </c>
    </row>
    <row r="14" spans="1:7" x14ac:dyDescent="0.25">
      <c r="A14" s="5" t="s">
        <v>45</v>
      </c>
      <c r="B14" s="5">
        <v>829.60649999999998</v>
      </c>
      <c r="C14" s="5">
        <v>76</v>
      </c>
      <c r="D14" s="5">
        <v>10.915875</v>
      </c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ht="15.75" thickBot="1" x14ac:dyDescent="0.3">
      <c r="A16" s="6" t="s">
        <v>46</v>
      </c>
      <c r="B16" s="6">
        <v>1796.2158750000001</v>
      </c>
      <c r="C16" s="6">
        <v>79</v>
      </c>
      <c r="D16" s="6"/>
      <c r="E16" s="6"/>
      <c r="F16" s="6"/>
      <c r="G16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567F-089B-4FA4-9176-9F04D24438F3}">
  <dimension ref="A1:AS70"/>
  <sheetViews>
    <sheetView tabSelected="1" topLeftCell="Y13" zoomScale="85" zoomScaleNormal="85" workbookViewId="0">
      <selection activeCell="AO7" sqref="AO7"/>
    </sheetView>
  </sheetViews>
  <sheetFormatPr defaultRowHeight="15" x14ac:dyDescent="0.25"/>
  <cols>
    <col min="1" max="1" width="8" bestFit="1" customWidth="1"/>
    <col min="2" max="2" width="11.5703125" bestFit="1" customWidth="1"/>
    <col min="3" max="3" width="13.42578125" bestFit="1" customWidth="1"/>
    <col min="4" max="4" width="11.5703125" bestFit="1" customWidth="1"/>
    <col min="5" max="5" width="13.140625" bestFit="1" customWidth="1"/>
    <col min="6" max="6" width="10.5703125" bestFit="1" customWidth="1"/>
    <col min="8" max="16" width="11.140625" customWidth="1"/>
    <col min="17" max="19" width="12.140625" customWidth="1"/>
    <col min="21" max="21" width="12.140625" bestFit="1" customWidth="1"/>
    <col min="22" max="22" width="17.85546875" bestFit="1" customWidth="1"/>
    <col min="23" max="23" width="13.85546875" bestFit="1" customWidth="1"/>
    <col min="24" max="24" width="16.7109375" bestFit="1" customWidth="1"/>
    <col min="25" max="25" width="16.140625" bestFit="1" customWidth="1"/>
    <col min="26" max="26" width="18" bestFit="1" customWidth="1"/>
    <col min="28" max="28" width="20.140625" customWidth="1"/>
    <col min="29" max="29" width="12.42578125" customWidth="1"/>
    <col min="30" max="30" width="11.5703125" customWidth="1"/>
    <col min="31" max="31" width="13.7109375" customWidth="1"/>
    <col min="32" max="32" width="14.28515625" customWidth="1"/>
    <col min="33" max="33" width="10" customWidth="1"/>
    <col min="37" max="37" width="9.42578125" customWidth="1"/>
    <col min="48" max="48" width="8.140625" customWidth="1"/>
    <col min="49" max="49" width="8" customWidth="1"/>
  </cols>
  <sheetData>
    <row r="1" spans="1:4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U1" s="11" t="s">
        <v>57</v>
      </c>
      <c r="V1" s="11" t="s">
        <v>58</v>
      </c>
      <c r="W1" s="11" t="s">
        <v>59</v>
      </c>
      <c r="X1" s="11" t="s">
        <v>60</v>
      </c>
      <c r="Y1" s="11" t="s">
        <v>61</v>
      </c>
      <c r="Z1" s="11" t="s">
        <v>62</v>
      </c>
    </row>
    <row r="2" spans="1:43" x14ac:dyDescent="0.25">
      <c r="A2" s="2">
        <v>1</v>
      </c>
      <c r="B2" s="2">
        <v>2</v>
      </c>
      <c r="C2" s="4">
        <v>0.68</v>
      </c>
      <c r="D2" s="2">
        <v>6</v>
      </c>
      <c r="E2" s="2">
        <v>1</v>
      </c>
      <c r="F2" s="2">
        <v>48</v>
      </c>
      <c r="U2" s="2" t="s">
        <v>63</v>
      </c>
      <c r="V2" s="2">
        <v>1</v>
      </c>
      <c r="W2" s="2">
        <v>8</v>
      </c>
      <c r="X2" s="2">
        <v>58</v>
      </c>
      <c r="Y2" s="2">
        <v>22</v>
      </c>
      <c r="Z2" s="2">
        <v>52</v>
      </c>
    </row>
    <row r="3" spans="1:43" x14ac:dyDescent="0.25">
      <c r="A3" s="2">
        <v>2</v>
      </c>
      <c r="B3" s="2">
        <v>3</v>
      </c>
      <c r="C3" s="4">
        <v>0.72</v>
      </c>
      <c r="D3" s="2">
        <v>6.5</v>
      </c>
      <c r="E3" s="2">
        <v>1</v>
      </c>
      <c r="F3" s="2">
        <v>52</v>
      </c>
      <c r="U3" s="2" t="s">
        <v>64</v>
      </c>
      <c r="V3" s="2">
        <v>2</v>
      </c>
      <c r="W3" s="2">
        <v>10</v>
      </c>
      <c r="X3" s="2">
        <v>60</v>
      </c>
      <c r="Y3" s="2">
        <v>24</v>
      </c>
      <c r="Z3" s="2">
        <v>55</v>
      </c>
    </row>
    <row r="4" spans="1:43" ht="27" thickBot="1" x14ac:dyDescent="0.45">
      <c r="A4" s="2">
        <v>3</v>
      </c>
      <c r="B4" s="2">
        <v>4</v>
      </c>
      <c r="C4" s="4">
        <v>0.74</v>
      </c>
      <c r="D4" s="2">
        <v>7</v>
      </c>
      <c r="E4" s="2">
        <v>2</v>
      </c>
      <c r="F4" s="2">
        <v>58</v>
      </c>
      <c r="U4" s="2" t="s">
        <v>65</v>
      </c>
      <c r="V4" s="2">
        <v>2</v>
      </c>
      <c r="W4" s="2">
        <v>12</v>
      </c>
      <c r="X4" s="2">
        <v>62</v>
      </c>
      <c r="Y4" s="2">
        <v>25</v>
      </c>
      <c r="Z4" s="2">
        <v>57</v>
      </c>
      <c r="AB4" s="21" t="s">
        <v>86</v>
      </c>
      <c r="AC4" s="21"/>
      <c r="AD4" s="21"/>
      <c r="AE4" s="15"/>
      <c r="AF4" s="16"/>
    </row>
    <row r="5" spans="1:43" ht="15.75" thickTop="1" x14ac:dyDescent="0.25">
      <c r="A5" s="2">
        <v>4</v>
      </c>
      <c r="B5" s="2">
        <v>5</v>
      </c>
      <c r="C5" s="4">
        <v>0.76</v>
      </c>
      <c r="D5" s="2">
        <v>7</v>
      </c>
      <c r="E5" s="2">
        <v>2</v>
      </c>
      <c r="F5" s="2">
        <v>61</v>
      </c>
      <c r="U5" s="2" t="s">
        <v>66</v>
      </c>
      <c r="V5" s="2">
        <v>3</v>
      </c>
      <c r="W5" s="2">
        <v>14</v>
      </c>
      <c r="X5" s="2">
        <v>64</v>
      </c>
      <c r="Y5" s="2">
        <v>27</v>
      </c>
      <c r="Z5" s="2">
        <v>60</v>
      </c>
    </row>
    <row r="6" spans="1:43" x14ac:dyDescent="0.25">
      <c r="A6" s="2">
        <v>5</v>
      </c>
      <c r="B6" s="2">
        <v>3</v>
      </c>
      <c r="C6" s="4">
        <v>0.7</v>
      </c>
      <c r="D6" s="2">
        <v>5.5</v>
      </c>
      <c r="E6" s="2">
        <v>1</v>
      </c>
      <c r="F6" s="2">
        <v>50</v>
      </c>
      <c r="U6" s="2" t="s">
        <v>67</v>
      </c>
      <c r="V6" s="2">
        <v>3</v>
      </c>
      <c r="W6" s="2">
        <v>15</v>
      </c>
      <c r="X6" s="2">
        <v>66</v>
      </c>
      <c r="Y6" s="2">
        <v>28</v>
      </c>
      <c r="Z6" s="2">
        <v>62</v>
      </c>
      <c r="AB6" s="25" t="s">
        <v>32</v>
      </c>
      <c r="AC6" s="26" t="s">
        <v>30</v>
      </c>
      <c r="AD6" s="26" t="s">
        <v>29</v>
      </c>
      <c r="AE6" s="26" t="s">
        <v>34</v>
      </c>
      <c r="AF6" s="27" t="s">
        <v>35</v>
      </c>
      <c r="AO6" t="s">
        <v>111</v>
      </c>
    </row>
    <row r="7" spans="1:43" x14ac:dyDescent="0.25">
      <c r="A7" s="2">
        <v>6</v>
      </c>
      <c r="B7" s="2">
        <v>6</v>
      </c>
      <c r="C7" s="4">
        <v>0.82</v>
      </c>
      <c r="D7" s="2">
        <v>7.5</v>
      </c>
      <c r="E7" s="2">
        <v>3</v>
      </c>
      <c r="F7" s="2">
        <v>69</v>
      </c>
      <c r="U7" s="2" t="s">
        <v>68</v>
      </c>
      <c r="V7" s="2">
        <v>4</v>
      </c>
      <c r="W7" s="2">
        <v>16</v>
      </c>
      <c r="X7" s="2">
        <v>68</v>
      </c>
      <c r="Y7" s="2">
        <v>30</v>
      </c>
      <c r="Z7" s="2">
        <v>65</v>
      </c>
      <c r="AB7" s="28" t="s">
        <v>63</v>
      </c>
      <c r="AC7" s="29">
        <v>5</v>
      </c>
      <c r="AD7" s="29">
        <v>141</v>
      </c>
      <c r="AE7" s="29">
        <v>28.2</v>
      </c>
      <c r="AF7" s="30">
        <v>660.2</v>
      </c>
    </row>
    <row r="8" spans="1:43" ht="26.25" x14ac:dyDescent="0.4">
      <c r="A8" s="2">
        <v>7</v>
      </c>
      <c r="B8" s="2">
        <v>7</v>
      </c>
      <c r="C8" s="4">
        <v>0.85</v>
      </c>
      <c r="D8" s="2">
        <v>7</v>
      </c>
      <c r="E8" s="2">
        <v>3</v>
      </c>
      <c r="F8" s="2">
        <v>73</v>
      </c>
      <c r="U8" s="2" t="s">
        <v>69</v>
      </c>
      <c r="V8" s="2">
        <v>4</v>
      </c>
      <c r="W8" s="2">
        <v>18</v>
      </c>
      <c r="X8" s="2">
        <v>69</v>
      </c>
      <c r="Y8" s="2">
        <v>31</v>
      </c>
      <c r="Z8" s="2">
        <v>67</v>
      </c>
      <c r="AB8" s="28" t="s">
        <v>64</v>
      </c>
      <c r="AC8" s="29">
        <v>5</v>
      </c>
      <c r="AD8" s="29">
        <v>151</v>
      </c>
      <c r="AE8" s="29">
        <v>30.2</v>
      </c>
      <c r="AF8" s="30">
        <v>686.2</v>
      </c>
      <c r="AH8" s="22" t="s">
        <v>90</v>
      </c>
      <c r="AI8" s="13"/>
      <c r="AJ8" s="13"/>
      <c r="AK8" s="13"/>
      <c r="AO8" s="34"/>
      <c r="AP8" s="34" t="s">
        <v>6</v>
      </c>
      <c r="AQ8" s="34" t="s">
        <v>7</v>
      </c>
    </row>
    <row r="9" spans="1:43" ht="15.75" thickBot="1" x14ac:dyDescent="0.3">
      <c r="A9" s="2">
        <v>8</v>
      </c>
      <c r="B9" s="2">
        <v>8</v>
      </c>
      <c r="C9" s="4">
        <v>0.88</v>
      </c>
      <c r="D9" s="2">
        <v>8</v>
      </c>
      <c r="E9" s="2">
        <v>4</v>
      </c>
      <c r="F9" s="2">
        <v>78</v>
      </c>
      <c r="U9" s="2" t="s">
        <v>70</v>
      </c>
      <c r="V9" s="2">
        <v>5</v>
      </c>
      <c r="W9" s="2">
        <v>20</v>
      </c>
      <c r="X9" s="2">
        <v>71</v>
      </c>
      <c r="Y9" s="2">
        <v>33</v>
      </c>
      <c r="Z9" s="2">
        <v>70</v>
      </c>
      <c r="AB9" s="28" t="s">
        <v>65</v>
      </c>
      <c r="AC9" s="29">
        <v>5</v>
      </c>
      <c r="AD9" s="29">
        <v>158</v>
      </c>
      <c r="AE9" s="29">
        <v>31.6</v>
      </c>
      <c r="AF9" s="30">
        <v>718.3</v>
      </c>
      <c r="AO9" s="29" t="s">
        <v>6</v>
      </c>
      <c r="AP9" s="29">
        <f>VARP(Sheet1!$AC$7:$AC$14)</f>
        <v>0</v>
      </c>
      <c r="AQ9" s="29"/>
    </row>
    <row r="10" spans="1:43" x14ac:dyDescent="0.25">
      <c r="A10" s="2">
        <v>9</v>
      </c>
      <c r="B10" s="2">
        <v>5</v>
      </c>
      <c r="C10" s="4">
        <v>0.79</v>
      </c>
      <c r="D10" s="2">
        <v>6.5</v>
      </c>
      <c r="E10" s="2">
        <v>2</v>
      </c>
      <c r="F10" s="2">
        <v>63</v>
      </c>
      <c r="U10" s="2" t="s">
        <v>71</v>
      </c>
      <c r="V10" s="2">
        <v>5</v>
      </c>
      <c r="W10" s="2">
        <v>21</v>
      </c>
      <c r="X10" s="2">
        <v>72</v>
      </c>
      <c r="Y10" s="2">
        <v>34</v>
      </c>
      <c r="Z10" s="2">
        <v>72</v>
      </c>
      <c r="AB10" s="28" t="s">
        <v>66</v>
      </c>
      <c r="AC10" s="29">
        <v>5</v>
      </c>
      <c r="AD10" s="29">
        <v>168</v>
      </c>
      <c r="AE10" s="29">
        <v>33.6</v>
      </c>
      <c r="AF10" s="30">
        <v>746.3</v>
      </c>
      <c r="AH10" s="7"/>
      <c r="AI10" s="7" t="s">
        <v>6</v>
      </c>
      <c r="AJ10" s="7" t="s">
        <v>7</v>
      </c>
      <c r="AK10" s="7" t="s">
        <v>8</v>
      </c>
      <c r="AL10" s="7" t="s">
        <v>9</v>
      </c>
      <c r="AM10" s="7" t="s">
        <v>10</v>
      </c>
      <c r="AO10" s="29" t="s">
        <v>7</v>
      </c>
      <c r="AP10" s="29">
        <v>0</v>
      </c>
      <c r="AQ10" s="29">
        <f>VARP(Sheet1!$AD$7:$AD$14)</f>
        <v>341.984375</v>
      </c>
    </row>
    <row r="11" spans="1:43" x14ac:dyDescent="0.25">
      <c r="A11" s="2">
        <v>10</v>
      </c>
      <c r="B11" s="2">
        <v>9</v>
      </c>
      <c r="C11" s="4">
        <v>0.9</v>
      </c>
      <c r="D11" s="2">
        <v>8</v>
      </c>
      <c r="E11" s="2">
        <v>4</v>
      </c>
      <c r="F11" s="2">
        <v>82</v>
      </c>
      <c r="U11" s="2" t="s">
        <v>72</v>
      </c>
      <c r="V11" s="2">
        <v>6</v>
      </c>
      <c r="W11" s="2">
        <v>22</v>
      </c>
      <c r="X11" s="2">
        <v>74</v>
      </c>
      <c r="Y11" s="2">
        <v>36</v>
      </c>
      <c r="Z11" s="2">
        <v>74</v>
      </c>
      <c r="AB11" s="28" t="s">
        <v>67</v>
      </c>
      <c r="AC11" s="29">
        <v>5</v>
      </c>
      <c r="AD11" s="29">
        <v>174</v>
      </c>
      <c r="AE11" s="29">
        <v>34.799999999999997</v>
      </c>
      <c r="AF11" s="30">
        <v>790.7</v>
      </c>
      <c r="AH11" s="5" t="s">
        <v>6</v>
      </c>
      <c r="AI11" s="5">
        <f>VARP(Sheet1!$V$2:$V$21)</f>
        <v>8.5</v>
      </c>
      <c r="AJ11" s="5"/>
      <c r="AK11" s="5"/>
      <c r="AL11" s="5"/>
      <c r="AM11" s="5"/>
    </row>
    <row r="12" spans="1:43" ht="15.75" thickBot="1" x14ac:dyDescent="0.3">
      <c r="A12" s="2">
        <v>11</v>
      </c>
      <c r="B12" s="2">
        <v>10</v>
      </c>
      <c r="C12" s="4">
        <v>0.92</v>
      </c>
      <c r="D12" s="2">
        <v>8</v>
      </c>
      <c r="E12" s="2">
        <v>5</v>
      </c>
      <c r="F12" s="2">
        <v>86</v>
      </c>
      <c r="U12" s="2" t="s">
        <v>73</v>
      </c>
      <c r="V12" s="2">
        <v>6</v>
      </c>
      <c r="W12" s="2">
        <v>24</v>
      </c>
      <c r="X12" s="2">
        <v>75</v>
      </c>
      <c r="Y12" s="2">
        <v>37</v>
      </c>
      <c r="Z12" s="2">
        <v>76</v>
      </c>
      <c r="AB12" s="28" t="s">
        <v>68</v>
      </c>
      <c r="AC12" s="29">
        <v>5</v>
      </c>
      <c r="AD12" s="29">
        <v>183</v>
      </c>
      <c r="AE12" s="29">
        <v>36.6</v>
      </c>
      <c r="AF12" s="30">
        <v>830.8</v>
      </c>
      <c r="AH12" s="5" t="s">
        <v>7</v>
      </c>
      <c r="AI12" s="5">
        <v>25.250000000000004</v>
      </c>
      <c r="AJ12" s="5">
        <f>VARP(Sheet1!$W$2:$W$21)</f>
        <v>75.747500000000002</v>
      </c>
      <c r="AK12" s="5"/>
      <c r="AL12" s="5"/>
      <c r="AM12" s="5"/>
    </row>
    <row r="13" spans="1:43" ht="27.75" thickTop="1" thickBot="1" x14ac:dyDescent="0.45">
      <c r="A13" s="2">
        <v>12</v>
      </c>
      <c r="B13" s="2">
        <v>4</v>
      </c>
      <c r="C13" s="4">
        <v>0.75</v>
      </c>
      <c r="D13" s="2">
        <v>6</v>
      </c>
      <c r="E13" s="2">
        <v>2</v>
      </c>
      <c r="F13" s="2">
        <v>57</v>
      </c>
      <c r="I13" s="18" t="s">
        <v>54</v>
      </c>
      <c r="J13" s="14"/>
      <c r="K13" s="14"/>
      <c r="L13" s="14"/>
      <c r="M13" s="14"/>
      <c r="N13" s="14"/>
      <c r="O13" s="14"/>
      <c r="P13" s="14"/>
      <c r="Q13" s="14"/>
      <c r="R13" s="14"/>
      <c r="U13" s="2" t="s">
        <v>74</v>
      </c>
      <c r="V13" s="2">
        <v>7</v>
      </c>
      <c r="W13" s="2">
        <v>25</v>
      </c>
      <c r="X13" s="2">
        <v>77</v>
      </c>
      <c r="Y13" s="2">
        <v>39</v>
      </c>
      <c r="Z13" s="2">
        <v>79</v>
      </c>
      <c r="AB13" s="28" t="s">
        <v>69</v>
      </c>
      <c r="AC13" s="29">
        <v>5</v>
      </c>
      <c r="AD13" s="29">
        <v>189</v>
      </c>
      <c r="AE13" s="29">
        <v>37.799999999999997</v>
      </c>
      <c r="AF13" s="30">
        <v>851.7</v>
      </c>
      <c r="AH13" s="5" t="s">
        <v>8</v>
      </c>
      <c r="AI13" s="5">
        <v>27.2</v>
      </c>
      <c r="AJ13" s="5">
        <v>81.429999999999993</v>
      </c>
      <c r="AK13" s="5">
        <f>VARP(Sheet1!$X$2:$X$21)</f>
        <v>87.74</v>
      </c>
      <c r="AL13" s="5"/>
      <c r="AM13" s="5"/>
    </row>
    <row r="14" spans="1:43" ht="15.75" thickTop="1" x14ac:dyDescent="0.25">
      <c r="A14" s="2">
        <v>13</v>
      </c>
      <c r="B14" s="2">
        <v>6</v>
      </c>
      <c r="C14" s="4">
        <v>0.83</v>
      </c>
      <c r="D14" s="2">
        <v>7</v>
      </c>
      <c r="E14" s="2">
        <v>3</v>
      </c>
      <c r="F14" s="2">
        <v>68</v>
      </c>
      <c r="U14" s="2" t="s">
        <v>75</v>
      </c>
      <c r="V14" s="2">
        <v>7</v>
      </c>
      <c r="W14" s="2">
        <v>26</v>
      </c>
      <c r="X14" s="2">
        <v>78</v>
      </c>
      <c r="Y14" s="2">
        <v>40</v>
      </c>
      <c r="Z14" s="2">
        <v>81</v>
      </c>
      <c r="AB14" s="28" t="s">
        <v>70</v>
      </c>
      <c r="AC14" s="29">
        <v>5</v>
      </c>
      <c r="AD14" s="29">
        <v>199</v>
      </c>
      <c r="AE14" s="29">
        <v>39.799999999999997</v>
      </c>
      <c r="AF14" s="30">
        <v>883.7</v>
      </c>
      <c r="AH14" s="5" t="s">
        <v>9</v>
      </c>
      <c r="AI14" s="5">
        <v>25.95</v>
      </c>
      <c r="AJ14" s="5">
        <v>77.614999999999995</v>
      </c>
      <c r="AK14" s="5">
        <v>83.52000000000001</v>
      </c>
      <c r="AL14" s="5">
        <f>VARP(Sheet1!$Y$2:$Y$21)</f>
        <v>79.709999999999994</v>
      </c>
      <c r="AM14" s="5"/>
    </row>
    <row r="15" spans="1:43" ht="15.75" thickBot="1" x14ac:dyDescent="0.3">
      <c r="A15" s="2">
        <v>14</v>
      </c>
      <c r="B15" s="2">
        <v>7</v>
      </c>
      <c r="C15" s="4">
        <v>0.86</v>
      </c>
      <c r="D15" s="2">
        <v>7.5</v>
      </c>
      <c r="E15" s="2">
        <v>3</v>
      </c>
      <c r="F15" s="2">
        <v>74</v>
      </c>
      <c r="H15" s="10" t="s">
        <v>12</v>
      </c>
      <c r="I15" s="10" t="s">
        <v>13</v>
      </c>
      <c r="J15" s="10" t="s">
        <v>14</v>
      </c>
      <c r="K15" s="10" t="s">
        <v>15</v>
      </c>
      <c r="L15" s="10" t="s">
        <v>16</v>
      </c>
      <c r="M15" s="10" t="s">
        <v>17</v>
      </c>
      <c r="N15" s="10" t="s">
        <v>48</v>
      </c>
      <c r="O15" s="10" t="s">
        <v>49</v>
      </c>
      <c r="P15" s="10" t="s">
        <v>50</v>
      </c>
      <c r="Q15" s="10" t="s">
        <v>51</v>
      </c>
      <c r="R15" s="10" t="s">
        <v>52</v>
      </c>
      <c r="S15" s="10" t="s">
        <v>53</v>
      </c>
      <c r="U15" s="2" t="s">
        <v>76</v>
      </c>
      <c r="V15" s="2">
        <v>8</v>
      </c>
      <c r="W15" s="2">
        <v>28</v>
      </c>
      <c r="X15" s="2">
        <v>80</v>
      </c>
      <c r="Y15" s="2">
        <v>42</v>
      </c>
      <c r="Z15" s="2">
        <v>84</v>
      </c>
      <c r="AB15" s="28" t="s">
        <v>71</v>
      </c>
      <c r="AC15" s="29">
        <v>5</v>
      </c>
      <c r="AD15" s="29">
        <v>204</v>
      </c>
      <c r="AE15" s="29">
        <v>40.799999999999997</v>
      </c>
      <c r="AF15" s="30">
        <v>916.69999999999982</v>
      </c>
      <c r="AH15" s="6" t="s">
        <v>10</v>
      </c>
      <c r="AI15" s="6">
        <v>39.6</v>
      </c>
      <c r="AJ15" s="6">
        <v>118.4425</v>
      </c>
      <c r="AK15" s="6">
        <v>127.53999999999996</v>
      </c>
      <c r="AL15" s="6">
        <v>121.54500000000004</v>
      </c>
      <c r="AM15" s="6">
        <f>VARP(Sheet1!$Z$2:$Z$21)</f>
        <v>185.6275</v>
      </c>
    </row>
    <row r="16" spans="1:43" x14ac:dyDescent="0.25">
      <c r="A16" s="2">
        <v>15</v>
      </c>
      <c r="B16" s="2">
        <v>8</v>
      </c>
      <c r="C16" s="4">
        <v>0.89</v>
      </c>
      <c r="D16" s="2">
        <v>8</v>
      </c>
      <c r="E16" s="2">
        <v>4</v>
      </c>
      <c r="F16" s="2">
        <v>79</v>
      </c>
      <c r="H16" s="7" t="s">
        <v>12</v>
      </c>
      <c r="I16" s="7"/>
      <c r="J16" s="7" t="s">
        <v>13</v>
      </c>
      <c r="K16" s="7"/>
      <c r="L16" s="7" t="s">
        <v>14</v>
      </c>
      <c r="M16" s="7"/>
      <c r="N16" s="7" t="s">
        <v>15</v>
      </c>
      <c r="O16" s="7"/>
      <c r="P16" s="7" t="s">
        <v>16</v>
      </c>
      <c r="Q16" s="7"/>
      <c r="R16" s="7" t="s">
        <v>17</v>
      </c>
      <c r="S16" s="7"/>
      <c r="U16" s="2" t="s">
        <v>77</v>
      </c>
      <c r="V16" s="2">
        <v>8</v>
      </c>
      <c r="W16" s="2">
        <v>30</v>
      </c>
      <c r="X16" s="2">
        <v>82</v>
      </c>
      <c r="Y16" s="2">
        <v>44</v>
      </c>
      <c r="Z16" s="2">
        <v>86</v>
      </c>
      <c r="AB16" s="28" t="s">
        <v>72</v>
      </c>
      <c r="AC16" s="29">
        <v>5</v>
      </c>
      <c r="AD16" s="29">
        <v>212</v>
      </c>
      <c r="AE16" s="29">
        <v>42.4</v>
      </c>
      <c r="AF16" s="30">
        <v>944.80000000000018</v>
      </c>
    </row>
    <row r="17" spans="1:44" x14ac:dyDescent="0.25">
      <c r="A17" s="2">
        <v>16</v>
      </c>
      <c r="B17" s="2">
        <v>2</v>
      </c>
      <c r="C17" s="4">
        <v>0.66</v>
      </c>
      <c r="D17" s="2">
        <v>5.5</v>
      </c>
      <c r="E17" s="2">
        <v>1</v>
      </c>
      <c r="F17" s="2">
        <v>45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U17" s="2" t="s">
        <v>78</v>
      </c>
      <c r="V17" s="2">
        <v>9</v>
      </c>
      <c r="W17" s="2">
        <v>31</v>
      </c>
      <c r="X17" s="2">
        <v>83</v>
      </c>
      <c r="Y17" s="2">
        <v>45</v>
      </c>
      <c r="Z17" s="2">
        <v>88</v>
      </c>
      <c r="AB17" s="28" t="s">
        <v>73</v>
      </c>
      <c r="AC17" s="29">
        <v>5</v>
      </c>
      <c r="AD17" s="29">
        <v>218</v>
      </c>
      <c r="AE17" s="29">
        <v>43.6</v>
      </c>
      <c r="AF17" s="30">
        <v>969.30000000000018</v>
      </c>
    </row>
    <row r="18" spans="1:44" ht="26.25" x14ac:dyDescent="0.4">
      <c r="A18" s="2">
        <v>17</v>
      </c>
      <c r="B18" s="2">
        <v>9</v>
      </c>
      <c r="C18" s="4">
        <v>0.91</v>
      </c>
      <c r="D18" s="2">
        <v>8.5</v>
      </c>
      <c r="E18" s="2">
        <v>5</v>
      </c>
      <c r="F18" s="2">
        <v>84</v>
      </c>
      <c r="H18" s="5" t="s">
        <v>18</v>
      </c>
      <c r="I18" s="5">
        <v>10.5</v>
      </c>
      <c r="J18" s="5" t="s">
        <v>18</v>
      </c>
      <c r="K18" s="5">
        <v>5.7</v>
      </c>
      <c r="L18" s="5" t="s">
        <v>18</v>
      </c>
      <c r="M18" s="5">
        <v>0.79999999999999993</v>
      </c>
      <c r="N18" s="5" t="s">
        <v>18</v>
      </c>
      <c r="O18" s="5">
        <v>6.9749999999999996</v>
      </c>
      <c r="P18" s="5" t="s">
        <v>18</v>
      </c>
      <c r="Q18" s="5">
        <v>2.65</v>
      </c>
      <c r="R18" s="5" t="s">
        <v>18</v>
      </c>
      <c r="S18" s="5">
        <v>65.849999999999994</v>
      </c>
      <c r="U18" s="2" t="s">
        <v>79</v>
      </c>
      <c r="V18" s="2">
        <v>9</v>
      </c>
      <c r="W18" s="2">
        <v>33</v>
      </c>
      <c r="X18" s="2">
        <v>85</v>
      </c>
      <c r="Y18" s="2">
        <v>47</v>
      </c>
      <c r="Z18" s="2">
        <v>90</v>
      </c>
      <c r="AB18" s="28" t="s">
        <v>74</v>
      </c>
      <c r="AC18" s="29">
        <v>5</v>
      </c>
      <c r="AD18" s="29">
        <v>227</v>
      </c>
      <c r="AE18" s="29">
        <v>45.4</v>
      </c>
      <c r="AF18" s="30">
        <v>1014.8000000000002</v>
      </c>
      <c r="AK18" s="24" t="s">
        <v>108</v>
      </c>
      <c r="AL18" s="23"/>
      <c r="AM18" s="23"/>
      <c r="AN18" s="23"/>
      <c r="AO18" s="23"/>
      <c r="AP18" s="23"/>
      <c r="AQ18" s="23"/>
      <c r="AR18" s="23"/>
    </row>
    <row r="19" spans="1:44" x14ac:dyDescent="0.25">
      <c r="A19" s="2">
        <v>18</v>
      </c>
      <c r="B19" s="2">
        <v>1</v>
      </c>
      <c r="C19" s="4">
        <v>0.62</v>
      </c>
      <c r="D19" s="2">
        <v>5</v>
      </c>
      <c r="E19" s="2">
        <v>0</v>
      </c>
      <c r="F19" s="2">
        <v>40</v>
      </c>
      <c r="H19" s="5" t="s">
        <v>19</v>
      </c>
      <c r="I19" s="5">
        <v>1.3228756555322954</v>
      </c>
      <c r="J19" s="5" t="s">
        <v>19</v>
      </c>
      <c r="K19" s="5">
        <v>0.61601435389975001</v>
      </c>
      <c r="L19" s="5" t="s">
        <v>19</v>
      </c>
      <c r="M19" s="5">
        <v>2.1088784746999271E-2</v>
      </c>
      <c r="N19" s="5" t="s">
        <v>19</v>
      </c>
      <c r="O19" s="5">
        <v>0.23077386972395358</v>
      </c>
      <c r="P19" s="5" t="s">
        <v>19</v>
      </c>
      <c r="Q19" s="5">
        <v>0.33462469157330027</v>
      </c>
      <c r="R19" s="5" t="s">
        <v>19</v>
      </c>
      <c r="S19" s="5">
        <v>3.2405936753041193</v>
      </c>
      <c r="U19" s="2" t="s">
        <v>80</v>
      </c>
      <c r="V19" s="2">
        <v>10</v>
      </c>
      <c r="W19" s="2">
        <v>34</v>
      </c>
      <c r="X19" s="2">
        <v>86</v>
      </c>
      <c r="Y19" s="2">
        <v>48</v>
      </c>
      <c r="Z19" s="2">
        <v>92</v>
      </c>
      <c r="AB19" s="28" t="s">
        <v>75</v>
      </c>
      <c r="AC19" s="29">
        <v>5</v>
      </c>
      <c r="AD19" s="29">
        <v>232</v>
      </c>
      <c r="AE19" s="29">
        <v>46.4</v>
      </c>
      <c r="AF19" s="30">
        <v>1051.3000000000002</v>
      </c>
      <c r="AI19" s="8"/>
      <c r="AJ19" s="8"/>
      <c r="AK19" s="8"/>
      <c r="AL19" s="8"/>
      <c r="AM19" s="8"/>
      <c r="AN19" s="8"/>
    </row>
    <row r="20" spans="1:44" x14ac:dyDescent="0.25">
      <c r="A20" s="2">
        <v>19</v>
      </c>
      <c r="B20" s="2">
        <v>5</v>
      </c>
      <c r="C20" s="4">
        <v>0.78</v>
      </c>
      <c r="D20" s="2">
        <v>6.5</v>
      </c>
      <c r="E20" s="2">
        <v>2</v>
      </c>
      <c r="F20" s="2">
        <v>62</v>
      </c>
      <c r="H20" s="5" t="s">
        <v>20</v>
      </c>
      <c r="I20" s="5">
        <v>10.5</v>
      </c>
      <c r="J20" s="5" t="s">
        <v>20</v>
      </c>
      <c r="K20" s="5">
        <v>5.5</v>
      </c>
      <c r="L20" s="5" t="s">
        <v>20</v>
      </c>
      <c r="M20" s="5">
        <v>0.80499999999999994</v>
      </c>
      <c r="N20" s="5" t="s">
        <v>20</v>
      </c>
      <c r="O20" s="5">
        <v>7</v>
      </c>
      <c r="P20" s="5" t="s">
        <v>20</v>
      </c>
      <c r="Q20" s="5">
        <v>2.5</v>
      </c>
      <c r="R20" s="5" t="s">
        <v>20</v>
      </c>
      <c r="S20" s="5">
        <v>65.5</v>
      </c>
      <c r="U20" s="2" t="s">
        <v>81</v>
      </c>
      <c r="V20" s="2">
        <v>10</v>
      </c>
      <c r="W20" s="2">
        <v>36</v>
      </c>
      <c r="X20" s="2">
        <v>88</v>
      </c>
      <c r="Y20" s="2">
        <v>50</v>
      </c>
      <c r="Z20" s="2">
        <v>95</v>
      </c>
      <c r="AB20" s="28" t="s">
        <v>76</v>
      </c>
      <c r="AC20" s="29">
        <v>5</v>
      </c>
      <c r="AD20" s="29">
        <v>242</v>
      </c>
      <c r="AE20" s="29">
        <v>48.4</v>
      </c>
      <c r="AF20" s="30">
        <v>1088.8000000000002</v>
      </c>
      <c r="AK20" t="s">
        <v>91</v>
      </c>
    </row>
    <row r="21" spans="1:44" ht="15.75" thickBot="1" x14ac:dyDescent="0.3">
      <c r="A21" s="2">
        <v>20</v>
      </c>
      <c r="B21" s="2">
        <v>10</v>
      </c>
      <c r="C21" s="4">
        <v>0.94</v>
      </c>
      <c r="D21" s="2">
        <v>8.5</v>
      </c>
      <c r="E21" s="2">
        <v>5</v>
      </c>
      <c r="F21" s="2">
        <v>88</v>
      </c>
      <c r="H21" s="5" t="s">
        <v>21</v>
      </c>
      <c r="I21" s="5" t="e">
        <v>#N/A</v>
      </c>
      <c r="J21" s="5" t="s">
        <v>21</v>
      </c>
      <c r="K21" s="5">
        <v>5</v>
      </c>
      <c r="L21" s="5" t="s">
        <v>21</v>
      </c>
      <c r="M21" s="5" t="e">
        <v>#N/A</v>
      </c>
      <c r="N21" s="5" t="s">
        <v>21</v>
      </c>
      <c r="O21" s="5">
        <v>7</v>
      </c>
      <c r="P21" s="5" t="s">
        <v>21</v>
      </c>
      <c r="Q21" s="5">
        <v>2</v>
      </c>
      <c r="R21" s="5" t="s">
        <v>21</v>
      </c>
      <c r="S21" s="5" t="e">
        <v>#N/A</v>
      </c>
      <c r="U21" s="2" t="s">
        <v>82</v>
      </c>
      <c r="V21" s="2">
        <v>11</v>
      </c>
      <c r="W21" s="2">
        <v>38</v>
      </c>
      <c r="X21" s="2">
        <v>90</v>
      </c>
      <c r="Y21" s="2">
        <v>52</v>
      </c>
      <c r="Z21" s="2">
        <v>98</v>
      </c>
      <c r="AB21" s="28" t="s">
        <v>77</v>
      </c>
      <c r="AC21" s="29">
        <v>5</v>
      </c>
      <c r="AD21" s="29">
        <v>250</v>
      </c>
      <c r="AE21" s="29">
        <v>50</v>
      </c>
      <c r="AF21" s="30">
        <v>1130</v>
      </c>
    </row>
    <row r="22" spans="1:44" x14ac:dyDescent="0.25">
      <c r="C22" s="1"/>
      <c r="H22" s="5" t="s">
        <v>22</v>
      </c>
      <c r="I22" s="5">
        <v>5.9160797830996161</v>
      </c>
      <c r="J22" s="5" t="s">
        <v>22</v>
      </c>
      <c r="K22" s="5">
        <v>2.7548999408709074</v>
      </c>
      <c r="L22" s="5" t="s">
        <v>22</v>
      </c>
      <c r="M22" s="5">
        <v>9.4311912514302154E-2</v>
      </c>
      <c r="N22" s="5" t="s">
        <v>22</v>
      </c>
      <c r="O22" s="5">
        <v>1.0320521202668818</v>
      </c>
      <c r="P22" s="5" t="s">
        <v>22</v>
      </c>
      <c r="Q22" s="5">
        <v>1.4964871146156009</v>
      </c>
      <c r="R22" s="5" t="s">
        <v>22</v>
      </c>
      <c r="S22" s="5">
        <v>14.492375490871785</v>
      </c>
      <c r="AB22" s="28" t="s">
        <v>78</v>
      </c>
      <c r="AC22" s="29">
        <v>5</v>
      </c>
      <c r="AD22" s="29">
        <v>256</v>
      </c>
      <c r="AE22" s="29">
        <v>51.2</v>
      </c>
      <c r="AF22" s="30">
        <v>1148.1999999999998</v>
      </c>
      <c r="AK22" s="17" t="s">
        <v>92</v>
      </c>
      <c r="AL22" s="17"/>
    </row>
    <row r="23" spans="1:44" x14ac:dyDescent="0.25">
      <c r="H23" s="5" t="s">
        <v>23</v>
      </c>
      <c r="I23" s="5">
        <v>35</v>
      </c>
      <c r="J23" s="5" t="s">
        <v>23</v>
      </c>
      <c r="K23" s="5">
        <v>7.589473684210529</v>
      </c>
      <c r="L23" s="5" t="s">
        <v>23</v>
      </c>
      <c r="M23" s="5">
        <v>8.8947368421053823E-3</v>
      </c>
      <c r="N23" s="5" t="s">
        <v>23</v>
      </c>
      <c r="O23" s="5">
        <v>1.0651315789473661</v>
      </c>
      <c r="P23" s="5" t="s">
        <v>23</v>
      </c>
      <c r="Q23" s="5">
        <v>2.2394736842105267</v>
      </c>
      <c r="R23" s="5" t="s">
        <v>23</v>
      </c>
      <c r="S23" s="5">
        <v>210.0289473684212</v>
      </c>
      <c r="AB23" s="28" t="s">
        <v>79</v>
      </c>
      <c r="AC23" s="29">
        <v>5</v>
      </c>
      <c r="AD23" s="29">
        <v>264</v>
      </c>
      <c r="AE23" s="29">
        <v>52.8</v>
      </c>
      <c r="AF23" s="30">
        <v>1191.1999999999998</v>
      </c>
      <c r="AK23" s="5" t="s">
        <v>93</v>
      </c>
      <c r="AL23" s="5">
        <v>0.99634555894229782</v>
      </c>
    </row>
    <row r="24" spans="1:44" x14ac:dyDescent="0.25">
      <c r="H24" s="5" t="s">
        <v>24</v>
      </c>
      <c r="I24" s="5">
        <v>-1.2000000000000011</v>
      </c>
      <c r="J24" s="5" t="s">
        <v>24</v>
      </c>
      <c r="K24" s="5">
        <v>-1.0695928856979684</v>
      </c>
      <c r="L24" s="5" t="s">
        <v>24</v>
      </c>
      <c r="M24" s="5">
        <v>-1.0110295061619072</v>
      </c>
      <c r="N24" s="5" t="s">
        <v>24</v>
      </c>
      <c r="O24" s="5">
        <v>-0.86322307811945542</v>
      </c>
      <c r="P24" s="5" t="s">
        <v>24</v>
      </c>
      <c r="Q24" s="5">
        <v>-0.92670025987531091</v>
      </c>
      <c r="R24" s="5" t="s">
        <v>24</v>
      </c>
      <c r="S24" s="5">
        <v>-1.1013457944799305</v>
      </c>
      <c r="AB24" s="28" t="s">
        <v>80</v>
      </c>
      <c r="AC24" s="29">
        <v>5</v>
      </c>
      <c r="AD24" s="29">
        <v>270</v>
      </c>
      <c r="AE24" s="29">
        <v>54</v>
      </c>
      <c r="AF24" s="30">
        <v>1210</v>
      </c>
      <c r="AK24" s="5" t="s">
        <v>94</v>
      </c>
      <c r="AL24" s="5">
        <v>0.99270447282403984</v>
      </c>
    </row>
    <row r="25" spans="1:44" x14ac:dyDescent="0.25">
      <c r="H25" s="5" t="s">
        <v>25</v>
      </c>
      <c r="I25" s="5">
        <v>0</v>
      </c>
      <c r="J25" s="5" t="s">
        <v>25</v>
      </c>
      <c r="K25" s="5">
        <v>1.2082871234061078E-2</v>
      </c>
      <c r="L25" s="5" t="s">
        <v>25</v>
      </c>
      <c r="M25" s="5">
        <v>-0.26560069663411351</v>
      </c>
      <c r="N25" s="5" t="s">
        <v>25</v>
      </c>
      <c r="O25" s="5">
        <v>-0.24507862040481887</v>
      </c>
      <c r="P25" s="5" t="s">
        <v>25</v>
      </c>
      <c r="Q25" s="5">
        <v>0.14893215369866725</v>
      </c>
      <c r="R25" s="5" t="s">
        <v>25</v>
      </c>
      <c r="S25" s="5">
        <v>-0.11103291789871096</v>
      </c>
      <c r="V25" t="s">
        <v>109</v>
      </c>
      <c r="AB25" s="28" t="s">
        <v>81</v>
      </c>
      <c r="AC25" s="29">
        <v>5</v>
      </c>
      <c r="AD25" s="29">
        <v>279</v>
      </c>
      <c r="AE25" s="29">
        <v>55.8</v>
      </c>
      <c r="AF25" s="30">
        <v>1274.1999999999998</v>
      </c>
      <c r="AK25" s="5" t="s">
        <v>95</v>
      </c>
      <c r="AL25" s="5">
        <v>0.99197492010644372</v>
      </c>
    </row>
    <row r="26" spans="1:44" ht="15.75" thickBot="1" x14ac:dyDescent="0.3">
      <c r="H26" s="5" t="s">
        <v>26</v>
      </c>
      <c r="I26" s="5">
        <v>19</v>
      </c>
      <c r="J26" s="5" t="s">
        <v>26</v>
      </c>
      <c r="K26" s="5">
        <v>9</v>
      </c>
      <c r="L26" s="5" t="s">
        <v>26</v>
      </c>
      <c r="M26" s="5">
        <v>0.31999999999999995</v>
      </c>
      <c r="N26" s="5" t="s">
        <v>26</v>
      </c>
      <c r="O26" s="5">
        <v>3.5</v>
      </c>
      <c r="P26" s="5" t="s">
        <v>26</v>
      </c>
      <c r="Q26" s="5">
        <v>5</v>
      </c>
      <c r="R26" s="5" t="s">
        <v>26</v>
      </c>
      <c r="S26" s="5">
        <v>48</v>
      </c>
      <c r="AB26" s="28" t="s">
        <v>82</v>
      </c>
      <c r="AC26" s="29">
        <v>5</v>
      </c>
      <c r="AD26" s="29">
        <v>289</v>
      </c>
      <c r="AE26" s="29">
        <v>57.8</v>
      </c>
      <c r="AF26" s="30">
        <v>1317.1999999999998</v>
      </c>
      <c r="AK26" s="5" t="s">
        <v>19</v>
      </c>
      <c r="AL26" s="5">
        <v>0.49282883326736887</v>
      </c>
    </row>
    <row r="27" spans="1:44" ht="27" thickBot="1" x14ac:dyDescent="0.45">
      <c r="A27" s="19" t="s">
        <v>47</v>
      </c>
      <c r="B27" s="9"/>
      <c r="C27" s="9"/>
      <c r="D27" s="9"/>
      <c r="E27" s="9"/>
      <c r="F27" s="9"/>
      <c r="H27" s="5" t="s">
        <v>27</v>
      </c>
      <c r="I27" s="5">
        <v>1</v>
      </c>
      <c r="J27" s="5" t="s">
        <v>27</v>
      </c>
      <c r="K27" s="5">
        <v>1</v>
      </c>
      <c r="L27" s="5" t="s">
        <v>27</v>
      </c>
      <c r="M27" s="5">
        <v>0.62</v>
      </c>
      <c r="N27" s="5" t="s">
        <v>27</v>
      </c>
      <c r="O27" s="5">
        <v>5</v>
      </c>
      <c r="P27" s="5" t="s">
        <v>27</v>
      </c>
      <c r="Q27" s="5">
        <v>0</v>
      </c>
      <c r="R27" s="5" t="s">
        <v>27</v>
      </c>
      <c r="S27" s="5">
        <v>40</v>
      </c>
      <c r="V27" s="7"/>
      <c r="W27" s="7" t="s">
        <v>6</v>
      </c>
      <c r="X27" s="7" t="s">
        <v>7</v>
      </c>
      <c r="AB27" s="28"/>
      <c r="AC27" s="29"/>
      <c r="AD27" s="29"/>
      <c r="AE27" s="29"/>
      <c r="AF27" s="30"/>
      <c r="AK27" s="6" t="s">
        <v>96</v>
      </c>
      <c r="AL27" s="6">
        <v>12</v>
      </c>
    </row>
    <row r="28" spans="1:44" ht="15.75" thickBot="1" x14ac:dyDescent="0.3">
      <c r="H28" s="5" t="s">
        <v>28</v>
      </c>
      <c r="I28" s="5">
        <v>20</v>
      </c>
      <c r="J28" s="5" t="s">
        <v>28</v>
      </c>
      <c r="K28" s="5">
        <v>10</v>
      </c>
      <c r="L28" s="5" t="s">
        <v>28</v>
      </c>
      <c r="M28" s="5">
        <v>0.94</v>
      </c>
      <c r="N28" s="5" t="s">
        <v>28</v>
      </c>
      <c r="O28" s="5">
        <v>8.5</v>
      </c>
      <c r="P28" s="5" t="s">
        <v>28</v>
      </c>
      <c r="Q28" s="5">
        <v>5</v>
      </c>
      <c r="R28" s="5" t="s">
        <v>28</v>
      </c>
      <c r="S28" s="5">
        <v>88</v>
      </c>
      <c r="V28" s="5" t="s">
        <v>6</v>
      </c>
      <c r="W28" s="5">
        <v>1</v>
      </c>
      <c r="X28" s="5"/>
      <c r="AB28" s="28" t="s">
        <v>58</v>
      </c>
      <c r="AC28" s="29">
        <v>20</v>
      </c>
      <c r="AD28" s="29">
        <v>120</v>
      </c>
      <c r="AE28" s="29">
        <v>6</v>
      </c>
      <c r="AF28" s="30">
        <v>8.9473684210526319</v>
      </c>
    </row>
    <row r="29" spans="1:44" ht="15.75" thickBot="1" x14ac:dyDescent="0.3">
      <c r="A29" s="7"/>
      <c r="B29" s="7" t="s">
        <v>6</v>
      </c>
      <c r="C29" s="7" t="s">
        <v>7</v>
      </c>
      <c r="D29" s="7" t="s">
        <v>8</v>
      </c>
      <c r="E29" s="7" t="s">
        <v>9</v>
      </c>
      <c r="F29" s="7" t="s">
        <v>10</v>
      </c>
      <c r="G29" s="7" t="s">
        <v>11</v>
      </c>
      <c r="H29" s="5" t="s">
        <v>29</v>
      </c>
      <c r="I29" s="5">
        <v>210</v>
      </c>
      <c r="J29" s="5" t="s">
        <v>29</v>
      </c>
      <c r="K29" s="5">
        <v>114</v>
      </c>
      <c r="L29" s="5" t="s">
        <v>29</v>
      </c>
      <c r="M29" s="5">
        <v>15.999999999999998</v>
      </c>
      <c r="N29" s="5" t="s">
        <v>29</v>
      </c>
      <c r="O29" s="5">
        <v>139.5</v>
      </c>
      <c r="P29" s="5" t="s">
        <v>29</v>
      </c>
      <c r="Q29" s="5">
        <v>53</v>
      </c>
      <c r="R29" s="5" t="s">
        <v>29</v>
      </c>
      <c r="S29" s="5">
        <v>1317</v>
      </c>
      <c r="V29" s="6" t="s">
        <v>7</v>
      </c>
      <c r="W29" s="6">
        <v>0.97816697512706696</v>
      </c>
      <c r="X29" s="6">
        <v>1</v>
      </c>
      <c r="AB29" s="28" t="s">
        <v>59</v>
      </c>
      <c r="AC29" s="29">
        <v>20</v>
      </c>
      <c r="AD29" s="29">
        <v>461</v>
      </c>
      <c r="AE29" s="29">
        <v>23.05</v>
      </c>
      <c r="AF29" s="30">
        <v>79.734210526315834</v>
      </c>
      <c r="AK29" t="s">
        <v>36</v>
      </c>
    </row>
    <row r="30" spans="1:44" x14ac:dyDescent="0.25">
      <c r="A30" s="5" t="s">
        <v>6</v>
      </c>
      <c r="B30" s="5">
        <v>1</v>
      </c>
      <c r="C30" s="5"/>
      <c r="D30" s="5"/>
      <c r="E30" s="5"/>
      <c r="F30" s="5"/>
      <c r="G30" s="5"/>
      <c r="H30" s="5" t="s">
        <v>30</v>
      </c>
      <c r="I30" s="5">
        <v>20</v>
      </c>
      <c r="J30" s="5" t="s">
        <v>30</v>
      </c>
      <c r="K30" s="5">
        <v>20</v>
      </c>
      <c r="L30" s="5" t="s">
        <v>30</v>
      </c>
      <c r="M30" s="5">
        <v>20</v>
      </c>
      <c r="N30" s="5" t="s">
        <v>30</v>
      </c>
      <c r="O30" s="5">
        <v>20</v>
      </c>
      <c r="P30" s="5" t="s">
        <v>30</v>
      </c>
      <c r="Q30" s="5">
        <v>20</v>
      </c>
      <c r="R30" s="5" t="s">
        <v>30</v>
      </c>
      <c r="S30" s="5">
        <v>20</v>
      </c>
      <c r="AB30" s="28" t="s">
        <v>60</v>
      </c>
      <c r="AC30" s="29">
        <v>20</v>
      </c>
      <c r="AD30" s="29">
        <v>1488</v>
      </c>
      <c r="AE30" s="29">
        <v>74.400000000000006</v>
      </c>
      <c r="AF30" s="30">
        <v>92.357894736842255</v>
      </c>
      <c r="AK30" s="7"/>
      <c r="AL30" s="7" t="s">
        <v>39</v>
      </c>
      <c r="AM30" s="7" t="s">
        <v>38</v>
      </c>
      <c r="AN30" s="7" t="s">
        <v>40</v>
      </c>
      <c r="AO30" s="7" t="s">
        <v>41</v>
      </c>
      <c r="AP30" s="7" t="s">
        <v>100</v>
      </c>
    </row>
    <row r="31" spans="1:44" x14ac:dyDescent="0.25">
      <c r="A31" s="5" t="s">
        <v>7</v>
      </c>
      <c r="B31" s="5">
        <v>0.30355291012422775</v>
      </c>
      <c r="C31" s="5">
        <v>1</v>
      </c>
      <c r="D31" s="5"/>
      <c r="E31" s="5"/>
      <c r="F31" s="5"/>
      <c r="G31" s="5"/>
      <c r="AB31" s="28" t="s">
        <v>61</v>
      </c>
      <c r="AC31" s="29">
        <v>20</v>
      </c>
      <c r="AD31" s="29">
        <v>734</v>
      </c>
      <c r="AE31" s="29">
        <v>36.700000000000003</v>
      </c>
      <c r="AF31" s="30">
        <v>83.90526315789478</v>
      </c>
      <c r="AK31" s="5" t="s">
        <v>97</v>
      </c>
      <c r="AL31" s="5">
        <v>1</v>
      </c>
      <c r="AM31" s="5">
        <v>330.48786407766994</v>
      </c>
      <c r="AN31" s="5">
        <v>330.48786407766994</v>
      </c>
      <c r="AO31" s="5">
        <v>1360.7028647568306</v>
      </c>
      <c r="AP31" s="5">
        <v>5.1016229170697115E-12</v>
      </c>
    </row>
    <row r="32" spans="1:44" ht="26.25" x14ac:dyDescent="0.4">
      <c r="A32" s="5" t="s">
        <v>8</v>
      </c>
      <c r="B32" s="5">
        <v>0.28393067874611488</v>
      </c>
      <c r="C32" s="5">
        <v>0.99056476688544115</v>
      </c>
      <c r="D32" s="5">
        <v>1</v>
      </c>
      <c r="E32" s="5"/>
      <c r="F32" s="5"/>
      <c r="G32" s="5"/>
      <c r="I32" s="20" t="s">
        <v>55</v>
      </c>
      <c r="J32" s="12"/>
      <c r="K32" s="12"/>
      <c r="L32" s="12"/>
      <c r="M32" s="12"/>
      <c r="N32" s="12"/>
      <c r="T32" t="s">
        <v>31</v>
      </c>
      <c r="V32" t="s">
        <v>110</v>
      </c>
      <c r="AB32" s="31" t="s">
        <v>62</v>
      </c>
      <c r="AC32" s="32">
        <v>20</v>
      </c>
      <c r="AD32" s="32">
        <v>1503</v>
      </c>
      <c r="AE32" s="32">
        <v>75.150000000000006</v>
      </c>
      <c r="AF32" s="33">
        <v>195.39736842105279</v>
      </c>
      <c r="AK32" s="5" t="s">
        <v>98</v>
      </c>
      <c r="AL32" s="5">
        <v>10</v>
      </c>
      <c r="AM32" s="5">
        <v>2.4288025889967608</v>
      </c>
      <c r="AN32" s="5">
        <v>0.24288025889967607</v>
      </c>
      <c r="AO32" s="5"/>
      <c r="AP32" s="5"/>
    </row>
    <row r="33" spans="1:45" ht="15.75" thickBot="1" x14ac:dyDescent="0.3">
      <c r="A33" s="5" t="s">
        <v>9</v>
      </c>
      <c r="B33" s="5">
        <v>0.1659363298875256</v>
      </c>
      <c r="C33" s="5">
        <v>0.9413039826451769</v>
      </c>
      <c r="D33" s="5">
        <v>0.9462726011611875</v>
      </c>
      <c r="E33" s="5">
        <v>1</v>
      </c>
      <c r="F33" s="5"/>
      <c r="G33" s="5"/>
      <c r="AK33" s="6" t="s">
        <v>46</v>
      </c>
      <c r="AL33" s="6">
        <v>11</v>
      </c>
      <c r="AM33" s="6">
        <v>332.91666666666669</v>
      </c>
      <c r="AN33" s="6"/>
      <c r="AO33" s="6"/>
      <c r="AP33" s="6"/>
    </row>
    <row r="34" spans="1:45" ht="15.75" thickBot="1" x14ac:dyDescent="0.3">
      <c r="A34" s="5" t="s">
        <v>10</v>
      </c>
      <c r="B34" s="5">
        <v>0.31804837219935145</v>
      </c>
      <c r="C34" s="5">
        <v>0.98173421564905605</v>
      </c>
      <c r="D34" s="5">
        <v>0.97330145547792934</v>
      </c>
      <c r="E34" s="5">
        <v>0.9482153028048389</v>
      </c>
      <c r="F34" s="5">
        <v>1</v>
      </c>
      <c r="G34" s="5"/>
      <c r="I34" t="s">
        <v>31</v>
      </c>
      <c r="T34" t="s">
        <v>32</v>
      </c>
      <c r="AB34" t="s">
        <v>110</v>
      </c>
    </row>
    <row r="35" spans="1:45" ht="15.75" thickBot="1" x14ac:dyDescent="0.3">
      <c r="A35" s="6" t="s">
        <v>11</v>
      </c>
      <c r="B35" s="6">
        <v>0.28759570385981487</v>
      </c>
      <c r="C35" s="6">
        <v>0.99673619546852021</v>
      </c>
      <c r="D35" s="6">
        <v>0.99656250093888221</v>
      </c>
      <c r="E35" s="6">
        <v>0.95511361796981908</v>
      </c>
      <c r="F35" s="6">
        <v>0.98273232772690966</v>
      </c>
      <c r="G35" s="6">
        <v>1</v>
      </c>
      <c r="T35" s="7" t="s">
        <v>33</v>
      </c>
      <c r="U35" s="7" t="s">
        <v>30</v>
      </c>
      <c r="V35" s="7" t="s">
        <v>29</v>
      </c>
      <c r="W35" s="7" t="s">
        <v>34</v>
      </c>
      <c r="X35" s="7" t="s">
        <v>35</v>
      </c>
      <c r="AB35" t="s">
        <v>36</v>
      </c>
      <c r="AL35" t="s">
        <v>101</v>
      </c>
      <c r="AM35" t="s">
        <v>19</v>
      </c>
      <c r="AN35" t="s">
        <v>102</v>
      </c>
      <c r="AO35" t="s">
        <v>42</v>
      </c>
      <c r="AP35" t="s">
        <v>103</v>
      </c>
      <c r="AQ35" t="s">
        <v>104</v>
      </c>
      <c r="AR35" t="s">
        <v>105</v>
      </c>
      <c r="AS35" t="s">
        <v>106</v>
      </c>
    </row>
    <row r="36" spans="1:45" x14ac:dyDescent="0.25">
      <c r="I36" t="s">
        <v>12</v>
      </c>
      <c r="J36" t="s">
        <v>13</v>
      </c>
      <c r="K36" t="s">
        <v>14</v>
      </c>
      <c r="L36" t="s">
        <v>15</v>
      </c>
      <c r="M36" t="s">
        <v>16</v>
      </c>
      <c r="N36" t="s">
        <v>17</v>
      </c>
      <c r="O36" t="s">
        <v>48</v>
      </c>
      <c r="T36" s="5" t="s">
        <v>6</v>
      </c>
      <c r="U36" s="5">
        <v>6</v>
      </c>
      <c r="V36" s="5">
        <v>18</v>
      </c>
      <c r="W36" s="5">
        <v>3</v>
      </c>
      <c r="X36" s="5">
        <v>0.8</v>
      </c>
      <c r="AB36" s="10" t="s">
        <v>37</v>
      </c>
      <c r="AC36" s="10" t="s">
        <v>38</v>
      </c>
      <c r="AD36" s="10" t="s">
        <v>39</v>
      </c>
      <c r="AE36" s="10" t="s">
        <v>40</v>
      </c>
      <c r="AF36" s="10" t="s">
        <v>41</v>
      </c>
      <c r="AG36" s="10" t="s">
        <v>42</v>
      </c>
      <c r="AH36" s="10" t="s">
        <v>43</v>
      </c>
      <c r="AK36" t="s">
        <v>99</v>
      </c>
      <c r="AL36">
        <v>-43.819579288025892</v>
      </c>
      <c r="AM36">
        <v>1.6571536642960376</v>
      </c>
      <c r="AN36">
        <v>-26.442677122909142</v>
      </c>
      <c r="AO36">
        <v>1.3796780442038375E-10</v>
      </c>
      <c r="AP36">
        <v>-47.511947751155311</v>
      </c>
      <c r="AQ36">
        <v>-40.127210824896473</v>
      </c>
      <c r="AR36">
        <v>-47.511947751155311</v>
      </c>
      <c r="AS36">
        <v>-40.127210824896473</v>
      </c>
    </row>
    <row r="37" spans="1:45" ht="15.75" thickBot="1" x14ac:dyDescent="0.3">
      <c r="I37" t="s">
        <v>32</v>
      </c>
      <c r="T37" s="5" t="s">
        <v>7</v>
      </c>
      <c r="U37" s="5">
        <v>6</v>
      </c>
      <c r="V37" s="5">
        <v>85</v>
      </c>
      <c r="W37" s="5">
        <v>14.166666666666666</v>
      </c>
      <c r="X37" s="5">
        <v>8.1666666666666519</v>
      </c>
      <c r="AB37" s="5" t="s">
        <v>87</v>
      </c>
      <c r="AC37" s="5">
        <v>7574.0400000000081</v>
      </c>
      <c r="AD37" s="5">
        <v>19</v>
      </c>
      <c r="AE37" s="5">
        <v>398.63368421052672</v>
      </c>
      <c r="AF37" s="5">
        <v>25.839823959879432</v>
      </c>
      <c r="AG37" s="5">
        <v>1.2585695254486171E-25</v>
      </c>
      <c r="AH37" s="5">
        <v>1.7250290947358735</v>
      </c>
      <c r="AK37" t="s">
        <v>107</v>
      </c>
      <c r="AL37">
        <v>0.89563106796116509</v>
      </c>
      <c r="AM37">
        <v>2.427993392709437E-2</v>
      </c>
      <c r="AN37">
        <v>36.887706146585344</v>
      </c>
      <c r="AO37">
        <v>5.1016229170697115E-12</v>
      </c>
      <c r="AP37">
        <v>0.84153200385454641</v>
      </c>
      <c r="AQ37">
        <v>0.94973013206778378</v>
      </c>
      <c r="AR37">
        <v>0.84153200385454641</v>
      </c>
      <c r="AS37">
        <v>0.94973013206778378</v>
      </c>
    </row>
    <row r="38" spans="1:45" ht="15.75" thickBot="1" x14ac:dyDescent="0.3">
      <c r="I38" s="7" t="s">
        <v>33</v>
      </c>
      <c r="J38" s="7" t="s">
        <v>30</v>
      </c>
      <c r="K38" s="7" t="s">
        <v>29</v>
      </c>
      <c r="L38" s="7" t="s">
        <v>34</v>
      </c>
      <c r="M38" s="7" t="s">
        <v>35</v>
      </c>
      <c r="T38" s="6" t="s">
        <v>8</v>
      </c>
      <c r="U38" s="6">
        <v>6</v>
      </c>
      <c r="V38" s="6">
        <v>389</v>
      </c>
      <c r="W38" s="6">
        <v>64.833333333333329</v>
      </c>
      <c r="X38" s="6">
        <v>12.166666666666666</v>
      </c>
      <c r="AB38" s="5" t="s">
        <v>88</v>
      </c>
      <c r="AC38" s="5">
        <v>76525.14</v>
      </c>
      <c r="AD38" s="5">
        <v>4</v>
      </c>
      <c r="AE38" s="5">
        <v>19131.285</v>
      </c>
      <c r="AF38" s="5">
        <v>1240.1085410163332</v>
      </c>
      <c r="AG38" s="5">
        <v>2.3706535743212596E-68</v>
      </c>
      <c r="AH38" s="5">
        <v>2.492049297224403</v>
      </c>
    </row>
    <row r="39" spans="1:45" ht="15.75" thickBot="1" x14ac:dyDescent="0.3">
      <c r="I39" s="5" t="s">
        <v>6</v>
      </c>
      <c r="J39" s="5">
        <v>20</v>
      </c>
      <c r="K39" s="5">
        <v>210</v>
      </c>
      <c r="L39" s="5">
        <v>10.5</v>
      </c>
      <c r="M39" s="5">
        <v>35</v>
      </c>
      <c r="AB39" s="5" t="s">
        <v>89</v>
      </c>
      <c r="AC39" s="5">
        <v>1172.4599999999919</v>
      </c>
      <c r="AD39" s="5">
        <v>76</v>
      </c>
      <c r="AE39" s="5">
        <v>15.427105263157788</v>
      </c>
      <c r="AF39" s="5"/>
      <c r="AG39" s="5"/>
      <c r="AH39" s="5"/>
    </row>
    <row r="40" spans="1:45" x14ac:dyDescent="0.25">
      <c r="A40" s="7"/>
      <c r="B40" s="7" t="s">
        <v>6</v>
      </c>
      <c r="C40" s="7" t="s">
        <v>7</v>
      </c>
      <c r="I40" s="5" t="s">
        <v>7</v>
      </c>
      <c r="J40" s="5">
        <v>20</v>
      </c>
      <c r="K40" s="5">
        <v>114</v>
      </c>
      <c r="L40" s="5">
        <v>5.7</v>
      </c>
      <c r="M40" s="5">
        <v>7.589473684210529</v>
      </c>
    </row>
    <row r="41" spans="1:45" x14ac:dyDescent="0.25">
      <c r="A41" s="5" t="s">
        <v>6</v>
      </c>
      <c r="B41" s="5">
        <v>1</v>
      </c>
      <c r="C41" s="5"/>
      <c r="I41" s="5" t="s">
        <v>8</v>
      </c>
      <c r="J41" s="5">
        <v>20</v>
      </c>
      <c r="K41" s="5">
        <v>15.999999999999998</v>
      </c>
      <c r="L41" s="5">
        <v>0.79999999999999993</v>
      </c>
      <c r="M41" s="5">
        <v>8.8947368421053823E-3</v>
      </c>
      <c r="T41" t="s">
        <v>36</v>
      </c>
    </row>
    <row r="42" spans="1:45" ht="15.75" thickBot="1" x14ac:dyDescent="0.3">
      <c r="A42" s="6" t="s">
        <v>7</v>
      </c>
      <c r="B42" s="6">
        <v>0.90251353780460153</v>
      </c>
      <c r="C42" s="6">
        <v>1</v>
      </c>
      <c r="I42" s="6" t="s">
        <v>9</v>
      </c>
      <c r="J42" s="6">
        <v>20</v>
      </c>
      <c r="K42" s="6">
        <v>139.5</v>
      </c>
      <c r="L42" s="6">
        <v>6.9749999999999996</v>
      </c>
      <c r="M42" s="6">
        <v>1.0651315789473661</v>
      </c>
      <c r="T42" t="s">
        <v>37</v>
      </c>
      <c r="U42" t="s">
        <v>38</v>
      </c>
      <c r="V42" t="s">
        <v>39</v>
      </c>
      <c r="W42" t="s">
        <v>40</v>
      </c>
      <c r="X42" t="s">
        <v>41</v>
      </c>
      <c r="Y42" t="s">
        <v>42</v>
      </c>
      <c r="Z42" t="s">
        <v>43</v>
      </c>
    </row>
    <row r="43" spans="1:45" x14ac:dyDescent="0.25">
      <c r="T43" t="s">
        <v>44</v>
      </c>
      <c r="U43">
        <v>13030.333333333338</v>
      </c>
      <c r="V43">
        <v>2</v>
      </c>
      <c r="W43">
        <v>6515.1666666666688</v>
      </c>
      <c r="X43">
        <v>924.86593059936956</v>
      </c>
      <c r="Y43">
        <v>1.9546162630420195E-16</v>
      </c>
      <c r="Z43">
        <v>3.6823203436732408</v>
      </c>
    </row>
    <row r="44" spans="1:45" x14ac:dyDescent="0.25">
      <c r="T44" t="s">
        <v>45</v>
      </c>
      <c r="U44">
        <v>105.66666666666666</v>
      </c>
      <c r="V44">
        <v>15</v>
      </c>
      <c r="W44">
        <v>7.0444444444444434</v>
      </c>
    </row>
    <row r="45" spans="1:45" ht="15.75" thickBot="1" x14ac:dyDescent="0.3">
      <c r="I45" t="s">
        <v>36</v>
      </c>
    </row>
    <row r="46" spans="1:45" x14ac:dyDescent="0.25">
      <c r="I46" s="7" t="s">
        <v>56</v>
      </c>
      <c r="J46" s="7" t="s">
        <v>38</v>
      </c>
      <c r="K46" s="7" t="s">
        <v>39</v>
      </c>
      <c r="L46" s="7" t="s">
        <v>40</v>
      </c>
      <c r="M46" s="7" t="s">
        <v>41</v>
      </c>
      <c r="N46" s="7" t="s">
        <v>42</v>
      </c>
      <c r="O46" s="7" t="s">
        <v>43</v>
      </c>
      <c r="T46" t="s">
        <v>46</v>
      </c>
      <c r="U46">
        <v>13136.000000000004</v>
      </c>
      <c r="V46">
        <v>17</v>
      </c>
    </row>
    <row r="47" spans="1:45" x14ac:dyDescent="0.25">
      <c r="I47" s="5" t="s">
        <v>44</v>
      </c>
      <c r="J47" s="5">
        <v>966.60937500000011</v>
      </c>
      <c r="K47" s="5">
        <v>3</v>
      </c>
      <c r="L47" s="5">
        <v>322.20312500000006</v>
      </c>
      <c r="M47" s="5">
        <v>29.516930617105828</v>
      </c>
      <c r="N47" s="5">
        <v>9.2952801118429355E-13</v>
      </c>
      <c r="O47" s="5">
        <v>2.7249439202759191</v>
      </c>
    </row>
    <row r="48" spans="1:45" x14ac:dyDescent="0.25">
      <c r="I48" s="5" t="s">
        <v>45</v>
      </c>
      <c r="J48" s="5">
        <v>829.60649999999998</v>
      </c>
      <c r="K48" s="5">
        <v>76</v>
      </c>
      <c r="L48" s="5">
        <v>10.915875</v>
      </c>
      <c r="M48" s="5"/>
      <c r="N48" s="5"/>
      <c r="O48" s="5"/>
    </row>
    <row r="49" spans="9:15" x14ac:dyDescent="0.25">
      <c r="I49" s="5"/>
      <c r="J49" s="5"/>
      <c r="K49" s="5"/>
      <c r="L49" s="5"/>
      <c r="M49" s="5"/>
      <c r="N49" s="5"/>
      <c r="O49" s="5"/>
    </row>
    <row r="50" spans="9:15" x14ac:dyDescent="0.25">
      <c r="I50" s="5" t="s">
        <v>46</v>
      </c>
      <c r="J50" s="5">
        <v>1796.2158750000001</v>
      </c>
      <c r="K50" s="5">
        <v>79</v>
      </c>
      <c r="L50" s="5"/>
      <c r="M50" s="5"/>
      <c r="N50" s="5"/>
      <c r="O50" s="5"/>
    </row>
    <row r="56" spans="9:15" x14ac:dyDescent="0.25">
      <c r="I56" t="s">
        <v>31</v>
      </c>
    </row>
    <row r="58" spans="9:15" ht="15.75" thickBot="1" x14ac:dyDescent="0.3">
      <c r="I58" t="s">
        <v>32</v>
      </c>
    </row>
    <row r="59" spans="9:15" x14ac:dyDescent="0.25">
      <c r="I59" s="7" t="s">
        <v>33</v>
      </c>
      <c r="J59" s="7" t="s">
        <v>30</v>
      </c>
      <c r="K59" s="7" t="s">
        <v>29</v>
      </c>
      <c r="L59" s="7" t="s">
        <v>34</v>
      </c>
      <c r="M59" s="7" t="s">
        <v>35</v>
      </c>
    </row>
    <row r="60" spans="9:15" x14ac:dyDescent="0.25">
      <c r="I60" s="5" t="s">
        <v>6</v>
      </c>
      <c r="J60" s="5">
        <v>4</v>
      </c>
      <c r="K60" s="5">
        <v>2.92</v>
      </c>
      <c r="L60" s="5">
        <v>0.73</v>
      </c>
      <c r="M60" s="5">
        <v>6.6666666666666784E-4</v>
      </c>
    </row>
    <row r="61" spans="9:15" x14ac:dyDescent="0.25">
      <c r="I61" s="5" t="s">
        <v>7</v>
      </c>
      <c r="J61" s="5">
        <v>4</v>
      </c>
      <c r="K61" s="5">
        <v>26</v>
      </c>
      <c r="L61" s="5">
        <v>6.5</v>
      </c>
      <c r="M61" s="5">
        <v>0.5</v>
      </c>
    </row>
    <row r="62" spans="9:15" ht="15.75" thickBot="1" x14ac:dyDescent="0.3">
      <c r="I62" s="6" t="s">
        <v>8</v>
      </c>
      <c r="J62" s="6">
        <v>4</v>
      </c>
      <c r="K62" s="6">
        <v>6</v>
      </c>
      <c r="L62" s="6">
        <v>1.5</v>
      </c>
      <c r="M62" s="6">
        <v>0.33333333333333331</v>
      </c>
    </row>
    <row r="65" spans="9:15" ht="15.75" thickBot="1" x14ac:dyDescent="0.3">
      <c r="I65" t="s">
        <v>36</v>
      </c>
    </row>
    <row r="66" spans="9:15" x14ac:dyDescent="0.25">
      <c r="I66" s="7" t="s">
        <v>37</v>
      </c>
      <c r="J66" s="7" t="s">
        <v>38</v>
      </c>
      <c r="K66" s="7" t="s">
        <v>39</v>
      </c>
      <c r="L66" s="7" t="s">
        <v>40</v>
      </c>
      <c r="M66" s="7" t="s">
        <v>41</v>
      </c>
      <c r="N66" s="7" t="s">
        <v>42</v>
      </c>
      <c r="O66" s="7" t="s">
        <v>43</v>
      </c>
    </row>
    <row r="67" spans="9:15" x14ac:dyDescent="0.25">
      <c r="I67" s="5" t="s">
        <v>44</v>
      </c>
      <c r="J67" s="5">
        <v>78.514400000000023</v>
      </c>
      <c r="K67" s="5">
        <v>2</v>
      </c>
      <c r="L67" s="5">
        <v>39.257200000000012</v>
      </c>
      <c r="M67" s="5">
        <v>141.21294964028783</v>
      </c>
      <c r="N67" s="5">
        <v>1.5985073542809472E-7</v>
      </c>
      <c r="O67" s="5">
        <v>4.2564947290937507</v>
      </c>
    </row>
    <row r="68" spans="9:15" x14ac:dyDescent="0.25">
      <c r="I68" s="5" t="s">
        <v>45</v>
      </c>
      <c r="J68" s="5">
        <v>2.5019999999999998</v>
      </c>
      <c r="K68" s="5">
        <v>9</v>
      </c>
      <c r="L68" s="5">
        <v>0.27799999999999997</v>
      </c>
      <c r="M68" s="5"/>
      <c r="N68" s="5"/>
      <c r="O68" s="5"/>
    </row>
    <row r="69" spans="9:15" x14ac:dyDescent="0.25">
      <c r="I69" s="5"/>
      <c r="J69" s="5"/>
      <c r="K69" s="5"/>
      <c r="L69" s="5"/>
      <c r="M69" s="5"/>
      <c r="N69" s="5"/>
      <c r="O69" s="5"/>
    </row>
    <row r="70" spans="9:15" ht="15.75" thickBot="1" x14ac:dyDescent="0.3">
      <c r="I70" s="6" t="s">
        <v>46</v>
      </c>
      <c r="J70" s="6">
        <v>81.016400000000019</v>
      </c>
      <c r="K70" s="6">
        <v>11</v>
      </c>
      <c r="L70" s="6"/>
      <c r="M70" s="6"/>
      <c r="N70" s="6"/>
      <c r="O70" s="6"/>
    </row>
  </sheetData>
  <mergeCells count="6">
    <mergeCell ref="A27:F27"/>
    <mergeCell ref="I13:R13"/>
    <mergeCell ref="I32:N32"/>
    <mergeCell ref="AH8:AK8"/>
    <mergeCell ref="AI19:AN19"/>
    <mergeCell ref="AK18:AR18"/>
  </mergeCells>
  <phoneticPr fontId="8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correlation</vt:lpstr>
      <vt:lpstr>descriptive</vt:lpstr>
      <vt:lpstr>singel factors</vt:lpstr>
      <vt:lpstr>Sheet5</vt:lpstr>
      <vt:lpstr>Sheet6</vt:lpstr>
      <vt:lpstr>Sheet7</vt:lpstr>
      <vt:lpstr>Sheet8</vt:lpstr>
      <vt:lpstr>Sheet9</vt:lpstr>
      <vt:lpstr>Sheet10</vt:lpstr>
      <vt:lpstr>Sheet13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2026-06-05T04:45:24Z</dcterms:created>
  <dcterms:modified xsi:type="dcterms:W3CDTF">2026-06-05T07:12:24Z</dcterms:modified>
</cp:coreProperties>
</file>